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Your design" sheetId="2" state="visible" r:id="rId4"/>
    <sheet name="Reference ru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<sst xmlns="http://schemas.openxmlformats.org/spreadsheetml/2006/main" count="200" uniqueCount="101">
  <si>
    <t xml:space="preserve">Agent design sheet (S24)</t>
  </si>
  <si>
    <t xml:space="preserve">Advanced AI for IT | OQ | Day 4, S24 | Synthetic program material</t>
  </si>
  <si>
    <t xml:space="preserve">What it is</t>
  </si>
  <si>
    <t xml:space="preserve">One row per tool your agent can call, with what each may do and where the approval gate sits. The three caps and the five audit fields go under it. It is page one of your control design and it feeds spec section 8.</t>
  </si>
  <si>
    <t xml:space="preserve">Time</t>
  </si>
  <si>
    <t xml:space="preserve">About 10 minutes after the S24 lab, out loud, per group.</t>
  </si>
  <si>
    <t xml:space="preserve">Step 1</t>
  </si>
  <si>
    <t xml:space="preserve">Sheet 'Your design': one row per tool, including the ones you are sure are read-only. The exercise is worth more where the answer is easy.</t>
  </si>
  <si>
    <t xml:space="preserve">Step 2</t>
  </si>
  <si>
    <t xml:space="preserve">Sort each tool by reversibility, not by how dangerous it sounds: can the same system undo it, in the same minute, with the same credentials?</t>
  </si>
  <si>
    <t xml:space="preserve">Step 3</t>
  </si>
  <si>
    <t xml:space="preserve">Pick a control per tool. Column L flags a write with no gate, a one-way write with no named gate, a retry that would write twice, and a read-only claim nobody verified.</t>
  </si>
  <si>
    <t xml:space="preserve">Step 4</t>
  </si>
  <si>
    <t xml:space="preserve">Write the three caps as numbers, then answer the five audit questions honestly. The last one is the hardest to retrofit.</t>
  </si>
  <si>
    <t xml:space="preserve">Server hints</t>
  </si>
  <si>
    <t xml:space="preserve">Columns I and J record what the server says about itself. Those are declarations by whoever wrote the server, not checks. A blank hint is silence, not a no.</t>
  </si>
  <si>
    <t xml:space="preserve">Reference run</t>
  </si>
  <si>
    <t xml:space="preserve">Sheet 'Reference run' is the SGP desk and document servers from S22 to S24. The cap values there come from the lab 12 run: 4.83 model calls, USD 5.08 per 1,000 runs, 14.99 seconds, each times 2.</t>
  </si>
  <si>
    <t xml:space="preserve">Bring it to</t>
  </si>
  <si>
    <t xml:space="preserve">Day 5, S27. The sheet is the input to the capstone scaffold.</t>
  </si>
  <si>
    <t xml:space="preserve">Agent design sheet</t>
  </si>
  <si>
    <t xml:space="preserve">Day 4, S24 | One row per tool the system can call | Yellow cells are yours | Synthetic program material</t>
  </si>
  <si>
    <t xml:space="preserve">Capstone</t>
  </si>
  <si>
    <t xml:space="preserve">Rung (from S20)</t>
  </si>
  <si>
    <t xml:space="preserve">0 to 6. The agent line is between 4 and 5.</t>
  </si>
  <si>
    <t xml:space="preserve">Tool</t>
  </si>
  <si>
    <t xml:space="preserve">Server and version</t>
  </si>
  <si>
    <t xml:space="preserve">Reads or writes</t>
  </si>
  <si>
    <t xml:space="preserve">Same system can undo it, same minute?</t>
  </si>
  <si>
    <t xml:space="preserve">Who can, if not</t>
  </si>
  <si>
    <t xml:space="preserve">Cost of a wrong one, while it stands</t>
  </si>
  <si>
    <t xml:space="preserve">Control</t>
  </si>
  <si>
    <t xml:space="preserve">Where the approval gate sits</t>
  </si>
  <si>
    <t xml:space="preserve">Server says read-only?</t>
  </si>
  <si>
    <t xml:space="preserve">Safe to retry? (idempotent, or key + precondition)</t>
  </si>
  <si>
    <t xml:space="preserve">We verified read-only?</t>
  </si>
  <si>
    <t xml:space="preserve">Flag</t>
  </si>
  <si>
    <t xml:space="preserve">Control is one of: removed (not in the client config), gated (policy refuses, the session proposes), policy (allowed under stated conditions), approved (a typed proposal, a person approves the exact call).</t>
  </si>
  <si>
    <t xml:space="preserve">Counts</t>
  </si>
  <si>
    <t xml:space="preserve">Tools listed</t>
  </si>
  <si>
    <t xml:space="preserve">Writes</t>
  </si>
  <si>
    <t xml:space="preserve">Writes that are one-way (cannot be undone in the same minute)</t>
  </si>
  <si>
    <t xml:space="preserve">Tools with a flag other than ok</t>
  </si>
  <si>
    <t xml:space="preserve">Read-only tools we have verified ourselves</t>
  </si>
  <si>
    <t xml:space="preserve">The three caps, as numbers</t>
  </si>
  <si>
    <t xml:space="preserve">Cap</t>
  </si>
  <si>
    <t xml:space="preserve">Our value</t>
  </si>
  <si>
    <t xml:space="preserve">Unit</t>
  </si>
  <si>
    <t xml:space="preserve">How we chose it</t>
  </si>
  <si>
    <t xml:space="preserve">What happens when it bites</t>
  </si>
  <si>
    <t xml:space="preserve">Steps</t>
  </si>
  <si>
    <t xml:space="preserve">model calls</t>
  </si>
  <si>
    <t xml:space="preserve">Money per run</t>
  </si>
  <si>
    <t xml:space="preserve">USD</t>
  </si>
  <si>
    <t xml:space="preserve">Wall clock per run</t>
  </si>
  <si>
    <t xml:space="preserve">seconds</t>
  </si>
  <si>
    <t xml:space="preserve">The five audit fields, for every write</t>
  </si>
  <si>
    <t xml:space="preserve">Field</t>
  </si>
  <si>
    <t xml:space="preserve">Can we produce it today?</t>
  </si>
  <si>
    <t xml:space="preserve">Where it is written</t>
  </si>
  <si>
    <t xml:space="preserve">If no: who fixes it, by when</t>
  </si>
  <si>
    <t xml:space="preserve">Who asked</t>
  </si>
  <si>
    <t xml:space="preserve">What was proposed</t>
  </si>
  <si>
    <t xml:space="preserve">Who decided, against which rule</t>
  </si>
  <si>
    <t xml:space="preserve">What executed</t>
  </si>
  <si>
    <t xml:space="preserve">What changed on the record</t>
  </si>
  <si>
    <t xml:space="preserve">Reference run: the SGP desk and document servers from S22 to S24. Synthetic program material</t>
  </si>
  <si>
    <t xml:space="preserve">SGP service desk assistant: reads tickets and documents, may propose one change to a ticket</t>
  </si>
  <si>
    <t xml:space="preserve">desk__list_tickets</t>
  </si>
  <si>
    <t xml:space="preserve">sgp-servicedesk</t>
  </si>
  <si>
    <t xml:space="preserve">read</t>
  </si>
  <si>
    <t xml:space="preserve">n/a</t>
  </si>
  <si>
    <t xml:space="preserve">None. Reads a copy of the queue</t>
  </si>
  <si>
    <t xml:space="preserve">policy</t>
  </si>
  <si>
    <t xml:space="preserve">none</t>
  </si>
  <si>
    <t xml:space="preserve">yes</t>
  </si>
  <si>
    <t xml:space="preserve">desk__get_ticket</t>
  </si>
  <si>
    <t xml:space="preserve">None</t>
  </si>
  <si>
    <t xml:space="preserve">desk__find_similar_tickets</t>
  </si>
  <si>
    <t xml:space="preserve">desk__update_ticket</t>
  </si>
  <si>
    <t xml:space="preserve">write</t>
  </si>
  <si>
    <t xml:space="preserve">no</t>
  </si>
  <si>
    <t xml:space="preserve">desk lead (in the lab: nobody)</t>
  </si>
  <si>
    <t xml:space="preserve">A wrong note or status while it stands; a P1 closed is a person's decision</t>
  </si>
  <si>
    <t xml:space="preserve">approved</t>
  </si>
  <si>
    <t xml:space="preserve">In the client: the typed call is shown to a person; the same bytes are executed. Idempotency key + precondition on retry</t>
  </si>
  <si>
    <t xml:space="preserve">docs__search_documents</t>
  </si>
  <si>
    <t xml:space="preserve">sgp-documents</t>
  </si>
  <si>
    <t xml:space="preserve">docs__get_document</t>
  </si>
  <si>
    <t xml:space="preserve">docs__list_documents</t>
  </si>
  <si>
    <t xml:space="preserve">Measured mean 4.83 model calls in lab 12, times 2</t>
  </si>
  <si>
    <t xml:space="preserve">The loop stops and returns what it has, marked incomplete</t>
  </si>
  <si>
    <t xml:space="preserve">Lab 12: USD 5.08 per 1,000 runs, so 0.00508 a run, times 2</t>
  </si>
  <si>
    <t xml:space="preserve">The client raises before the next call is paid for</t>
  </si>
  <si>
    <t xml:space="preserve">Lab 12 median 14.99 seconds, times 2</t>
  </si>
  <si>
    <t xml:space="preserve">The client cancels the run and logs it</t>
  </si>
  <si>
    <t xml:space="preserve">Client config: SGP_DESK_ACTOR goes into the history entry</t>
  </si>
  <si>
    <t xml:space="preserve">The typed proposal, stored before the decision</t>
  </si>
  <si>
    <t xml:space="preserve">The gate's reason string, logged with the verdict</t>
  </si>
  <si>
    <t xml:space="preserve">The bytes sent to the server; equal to the approved bytes</t>
  </si>
  <si>
    <t xml:space="preserve">A diff of the system of record, not the model's summary</t>
  </si>
</sst>
</file>

<file path=xl/styles.xml><?xml version="1.0" encoding="utf-8"?>
<styleSheet xmlns="http://schemas.openxmlformats.org/spreadsheetml/2006/main">
  <numFmts count="4">
    <numFmt numFmtId="164" formatCode="General"/>
    <numFmt numFmtId="165" formatCode="0"/>
    <numFmt numFmtId="166" formatCode="General"/>
    <numFmt numFmtId="167" formatCode="0.0000"/>
  </numFmts>
  <fonts count="10">
    <font>
      <sz val="11"/>
      <color theme="1"/>
      <name val="Calibri"/>
      <family val="2"/>
      <charset val="1"/>
    </font>
    <font>
      <sz val="10"/>
      <name val="Arial"/>
      <family val="0"/>
    </font>
    <font>
      <sz val="10"/>
      <name val="Arial"/>
      <family val="0"/>
    </font>
    <font>
      <sz val="10"/>
      <name val="Arial"/>
      <family val="0"/>
    </font>
    <font>
      <b val="true"/>
      <sz val="16"/>
      <color rgb="FF1C1C6B"/>
      <name val="Arial"/>
      <family val="0"/>
      <charset val="1"/>
    </font>
    <font>
      <sz val="10"/>
      <color rgb="FF555555"/>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1"/>
      <color rgb="FF1C1C6B"/>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1C1C6B"/>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A"/>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1C1C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30.75" hidden="false" customHeight="true" outlineLevel="0" collapsed="false">
      <c r="A4" s="4" t="s">
        <v>2</v>
      </c>
      <c r="B4" s="5" t="s">
        <v>3</v>
      </c>
    </row>
    <row r="5" customFormat="false" ht="17.25" hidden="false" customHeight="true" outlineLevel="0" collapsed="false">
      <c r="A5" s="4" t="s">
        <v>4</v>
      </c>
      <c r="B5" s="5" t="s">
        <v>5</v>
      </c>
    </row>
    <row r="6" customFormat="false" ht="30.75" hidden="false" customHeight="true" outlineLevel="0" collapsed="false">
      <c r="A6" s="4" t="s">
        <v>6</v>
      </c>
      <c r="B6" s="5" t="s">
        <v>7</v>
      </c>
    </row>
    <row r="7" customFormat="false" ht="30.75" hidden="false" customHeight="true" outlineLevel="0" collapsed="false">
      <c r="A7" s="4" t="s">
        <v>8</v>
      </c>
      <c r="B7" s="5" t="s">
        <v>9</v>
      </c>
    </row>
    <row r="8" customFormat="false" ht="30.75" hidden="false" customHeight="true" outlineLevel="0" collapsed="false">
      <c r="A8" s="4" t="s">
        <v>10</v>
      </c>
      <c r="B8" s="5" t="s">
        <v>11</v>
      </c>
    </row>
    <row r="9" customFormat="false" ht="30.75" hidden="false" customHeight="true" outlineLevel="0" collapsed="false">
      <c r="A9" s="4" t="s">
        <v>12</v>
      </c>
      <c r="B9" s="5" t="s">
        <v>13</v>
      </c>
    </row>
    <row r="10" customFormat="false" ht="30.75" hidden="false" customHeight="true" outlineLevel="0" collapsed="false">
      <c r="A10" s="4" t="s">
        <v>14</v>
      </c>
      <c r="B10" s="5" t="s">
        <v>15</v>
      </c>
    </row>
    <row r="11" customFormat="false" ht="30.75" hidden="false" customHeight="true" outlineLevel="0" collapsed="false">
      <c r="A11" s="4" t="s">
        <v>16</v>
      </c>
      <c r="B11" s="5" t="s">
        <v>17</v>
      </c>
    </row>
    <row r="12" customFormat="false" ht="17.25" hidden="false" customHeight="true" outlineLevel="0" collapsed="false">
      <c r="A12" s="4" t="s">
        <v>18</v>
      </c>
      <c r="B12" s="5"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12"/>
    <col collapsed="false" customWidth="true" hidden="false" outlineLevel="0" max="4" min="4" style="1" width="16"/>
    <col collapsed="false" customWidth="true" hidden="false" outlineLevel="0" max="5" min="5" style="1" width="22"/>
    <col collapsed="false" customWidth="true" hidden="false" outlineLevel="0" max="6" min="6" style="1" width="34"/>
    <col collapsed="false" customWidth="true" hidden="false" outlineLevel="0" max="7" min="7" style="1" width="12"/>
    <col collapsed="false" customWidth="true" hidden="false" outlineLevel="0" max="8" min="8" style="1" width="34"/>
    <col collapsed="false" customWidth="true" hidden="false" outlineLevel="0" max="11" min="9" style="1" width="13"/>
    <col collapsed="false" customWidth="true" hidden="false" outlineLevel="0" max="12" min="12" style="1" width="46"/>
  </cols>
  <sheetData>
    <row r="1" customFormat="false" ht="19.5" hidden="false" customHeight="true" outlineLevel="0" collapsed="false">
      <c r="A1" s="2" t="s">
        <v>20</v>
      </c>
    </row>
    <row r="2" customFormat="false" ht="15" hidden="false" customHeight="true" outlineLevel="0" collapsed="false">
      <c r="A2" s="3" t="s">
        <v>21</v>
      </c>
    </row>
    <row r="4" customFormat="false" ht="17.25" hidden="false" customHeight="true" outlineLevel="0" collapsed="false">
      <c r="A4" s="4" t="s">
        <v>22</v>
      </c>
      <c r="B4" s="6"/>
      <c r="C4" s="6"/>
      <c r="D4" s="6"/>
      <c r="E4" s="6"/>
      <c r="F4" s="6"/>
    </row>
    <row r="5" customFormat="false" ht="17.25" hidden="false" customHeight="true" outlineLevel="0" collapsed="false">
      <c r="A5" s="4" t="s">
        <v>23</v>
      </c>
      <c r="B5" s="7"/>
      <c r="C5" s="3" t="s">
        <v>24</v>
      </c>
    </row>
    <row r="7" customFormat="false" ht="57.75" hidden="false" customHeight="true" outlineLevel="0" collapsed="false">
      <c r="A7" s="8" t="s">
        <v>25</v>
      </c>
      <c r="B7" s="8" t="s">
        <v>26</v>
      </c>
      <c r="C7" s="8" t="s">
        <v>27</v>
      </c>
      <c r="D7" s="8" t="s">
        <v>28</v>
      </c>
      <c r="E7" s="8" t="s">
        <v>29</v>
      </c>
      <c r="F7" s="8" t="s">
        <v>30</v>
      </c>
      <c r="G7" s="8" t="s">
        <v>31</v>
      </c>
      <c r="H7" s="8" t="s">
        <v>32</v>
      </c>
      <c r="I7" s="8" t="s">
        <v>33</v>
      </c>
      <c r="J7" s="8" t="s">
        <v>34</v>
      </c>
      <c r="K7" s="8" t="s">
        <v>35</v>
      </c>
      <c r="L7" s="8" t="s">
        <v>36</v>
      </c>
    </row>
    <row r="8" customFormat="false" ht="30" hidden="false" customHeight="true" outlineLevel="0" collapsed="false">
      <c r="A8" s="6"/>
      <c r="B8" s="6"/>
      <c r="C8" s="6"/>
      <c r="D8" s="6"/>
      <c r="E8" s="6"/>
      <c r="F8" s="6"/>
      <c r="G8" s="6"/>
      <c r="H8" s="6"/>
      <c r="I8" s="6"/>
      <c r="J8" s="6"/>
      <c r="K8" s="6"/>
      <c r="L8" s="9" t="str">
        <f aca="false">IF(A8="","",IF(AND(C8="write",OR(G8="",G8="policy")),"WRITE with no gate or approval",IF(AND(C8="write",D8="no",H8=""),"one-way write: say where the gate sits",IF(AND(C8="write",I8="yes"),"server calls a write read-only: check it",IF(AND(C8="write",J8&lt;&gt;"yes"),"a retry writes twice: add an idempotency key + precondition",IF(AND(C8="read",I8&lt;&gt;"yes",K8&lt;&gt;"yes"),"read-only is a claim: verify it",IF(G8="","choose a control","ok")))))))</f>
        <v/>
      </c>
    </row>
    <row r="9" customFormat="false" ht="30" hidden="false" customHeight="true" outlineLevel="0" collapsed="false">
      <c r="A9" s="6"/>
      <c r="B9" s="6"/>
      <c r="C9" s="6"/>
      <c r="D9" s="6"/>
      <c r="E9" s="6"/>
      <c r="F9" s="6"/>
      <c r="G9" s="6"/>
      <c r="H9" s="6"/>
      <c r="I9" s="6"/>
      <c r="J9" s="6"/>
      <c r="K9" s="6"/>
      <c r="L9" s="9" t="str">
        <f aca="false">IF(A9="","",IF(AND(C9="write",OR(G9="",G9="policy")),"WRITE with no gate or approval",IF(AND(C9="write",D9="no",H9=""),"one-way write: say where the gate sits",IF(AND(C9="write",I9="yes"),"server calls a write read-only: check it",IF(AND(C9="write",J9&lt;&gt;"yes"),"a retry writes twice: add an idempotency key + precondition",IF(AND(C9="read",I9&lt;&gt;"yes",K9&lt;&gt;"yes"),"read-only is a claim: verify it",IF(G9="","choose a control","ok")))))))</f>
        <v/>
      </c>
    </row>
    <row r="10" customFormat="false" ht="30" hidden="false" customHeight="true" outlineLevel="0" collapsed="false">
      <c r="A10" s="6"/>
      <c r="B10" s="6"/>
      <c r="C10" s="6"/>
      <c r="D10" s="6"/>
      <c r="E10" s="6"/>
      <c r="F10" s="6"/>
      <c r="G10" s="6"/>
      <c r="H10" s="6"/>
      <c r="I10" s="6"/>
      <c r="J10" s="6"/>
      <c r="K10" s="6"/>
      <c r="L10" s="9" t="str">
        <f aca="false">IF(A10="","",IF(AND(C10="write",OR(G10="",G10="policy")),"WRITE with no gate or approval",IF(AND(C10="write",D10="no",H10=""),"one-way write: say where the gate sits",IF(AND(C10="write",I10="yes"),"server calls a write read-only: check it",IF(AND(C10="write",J10&lt;&gt;"yes"),"a retry writes twice: add an idempotency key + precondition",IF(AND(C10="read",I10&lt;&gt;"yes",K10&lt;&gt;"yes"),"read-only is a claim: verify it",IF(G10="","choose a control","ok")))))))</f>
        <v/>
      </c>
    </row>
    <row r="11" customFormat="false" ht="30" hidden="false" customHeight="true" outlineLevel="0" collapsed="false">
      <c r="A11" s="6"/>
      <c r="B11" s="6"/>
      <c r="C11" s="6"/>
      <c r="D11" s="6"/>
      <c r="E11" s="6"/>
      <c r="F11" s="6"/>
      <c r="G11" s="6"/>
      <c r="H11" s="6"/>
      <c r="I11" s="6"/>
      <c r="J11" s="6"/>
      <c r="K11" s="6"/>
      <c r="L11" s="9" t="str">
        <f aca="false">IF(A11="","",IF(AND(C11="write",OR(G11="",G11="policy")),"WRITE with no gate or approval",IF(AND(C11="write",D11="no",H11=""),"one-way write: say where the gate sits",IF(AND(C11="write",I11="yes"),"server calls a write read-only: check it",IF(AND(C11="write",J11&lt;&gt;"yes"),"a retry writes twice: add an idempotency key + precondition",IF(AND(C11="read",I11&lt;&gt;"yes",K11&lt;&gt;"yes"),"read-only is a claim: verify it",IF(G11="","choose a control","ok")))))))</f>
        <v/>
      </c>
    </row>
    <row r="12" customFormat="false" ht="30" hidden="false" customHeight="true" outlineLevel="0" collapsed="false">
      <c r="A12" s="6"/>
      <c r="B12" s="6"/>
      <c r="C12" s="6"/>
      <c r="D12" s="6"/>
      <c r="E12" s="6"/>
      <c r="F12" s="6"/>
      <c r="G12" s="6"/>
      <c r="H12" s="6"/>
      <c r="I12" s="6"/>
      <c r="J12" s="6"/>
      <c r="K12" s="6"/>
      <c r="L12" s="9" t="str">
        <f aca="false">IF(A12="","",IF(AND(C12="write",OR(G12="",G12="policy")),"WRITE with no gate or approval",IF(AND(C12="write",D12="no",H12=""),"one-way write: say where the gate sits",IF(AND(C12="write",I12="yes"),"server calls a write read-only: check it",IF(AND(C12="write",J12&lt;&gt;"yes"),"a retry writes twice: add an idempotency key + precondition",IF(AND(C12="read",I12&lt;&gt;"yes",K12&lt;&gt;"yes"),"read-only is a claim: verify it",IF(G12="","choose a control","ok")))))))</f>
        <v/>
      </c>
    </row>
    <row r="13" customFormat="false" ht="30" hidden="false" customHeight="true" outlineLevel="0" collapsed="false">
      <c r="A13" s="6"/>
      <c r="B13" s="6"/>
      <c r="C13" s="6"/>
      <c r="D13" s="6"/>
      <c r="E13" s="6"/>
      <c r="F13" s="6"/>
      <c r="G13" s="6"/>
      <c r="H13" s="6"/>
      <c r="I13" s="6"/>
      <c r="J13" s="6"/>
      <c r="K13" s="6"/>
      <c r="L13" s="9" t="str">
        <f aca="false">IF(A13="","",IF(AND(C13="write",OR(G13="",G13="policy")),"WRITE with no gate or approval",IF(AND(C13="write",D13="no",H13=""),"one-way write: say where the gate sits",IF(AND(C13="write",I13="yes"),"server calls a write read-only: check it",IF(AND(C13="write",J13&lt;&gt;"yes"),"a retry writes twice: add an idempotency key + precondition",IF(AND(C13="read",I13&lt;&gt;"yes",K13&lt;&gt;"yes"),"read-only is a claim: verify it",IF(G13="","choose a control","ok")))))))</f>
        <v/>
      </c>
    </row>
    <row r="14" customFormat="false" ht="30" hidden="false" customHeight="true" outlineLevel="0" collapsed="false">
      <c r="A14" s="6"/>
      <c r="B14" s="6"/>
      <c r="C14" s="6"/>
      <c r="D14" s="6"/>
      <c r="E14" s="6"/>
      <c r="F14" s="6"/>
      <c r="G14" s="6"/>
      <c r="H14" s="6"/>
      <c r="I14" s="6"/>
      <c r="J14" s="6"/>
      <c r="K14" s="6"/>
      <c r="L14" s="9" t="str">
        <f aca="false">IF(A14="","",IF(AND(C14="write",OR(G14="",G14="policy")),"WRITE with no gate or approval",IF(AND(C14="write",D14="no",H14=""),"one-way write: say where the gate sits",IF(AND(C14="write",I14="yes"),"server calls a write read-only: check it",IF(AND(C14="write",J14&lt;&gt;"yes"),"a retry writes twice: add an idempotency key + precondition",IF(AND(C14="read",I14&lt;&gt;"yes",K14&lt;&gt;"yes"),"read-only is a claim: verify it",IF(G14="","choose a control","ok")))))))</f>
        <v/>
      </c>
    </row>
    <row r="15" customFormat="false" ht="30" hidden="false" customHeight="true" outlineLevel="0" collapsed="false">
      <c r="A15" s="6"/>
      <c r="B15" s="6"/>
      <c r="C15" s="6"/>
      <c r="D15" s="6"/>
      <c r="E15" s="6"/>
      <c r="F15" s="6"/>
      <c r="G15" s="6"/>
      <c r="H15" s="6"/>
      <c r="I15" s="6"/>
      <c r="J15" s="6"/>
      <c r="K15" s="6"/>
      <c r="L15" s="9" t="str">
        <f aca="false">IF(A15="","",IF(AND(C15="write",OR(G15="",G15="policy")),"WRITE with no gate or approval",IF(AND(C15="write",D15="no",H15=""),"one-way write: say where the gate sits",IF(AND(C15="write",I15="yes"),"server calls a write read-only: check it",IF(AND(C15="write",J15&lt;&gt;"yes"),"a retry writes twice: add an idempotency key + precondition",IF(AND(C15="read",I15&lt;&gt;"yes",K15&lt;&gt;"yes"),"read-only is a claim: verify it",IF(G15="","choose a control","ok")))))))</f>
        <v/>
      </c>
    </row>
    <row r="16" customFormat="false" ht="30" hidden="false" customHeight="true" outlineLevel="0" collapsed="false">
      <c r="A16" s="6"/>
      <c r="B16" s="6"/>
      <c r="C16" s="6"/>
      <c r="D16" s="6"/>
      <c r="E16" s="6"/>
      <c r="F16" s="6"/>
      <c r="G16" s="6"/>
      <c r="H16" s="6"/>
      <c r="I16" s="6"/>
      <c r="J16" s="6"/>
      <c r="K16" s="6"/>
      <c r="L16" s="9" t="str">
        <f aca="false">IF(A16="","",IF(AND(C16="write",OR(G16="",G16="policy")),"WRITE with no gate or approval",IF(AND(C16="write",D16="no",H16=""),"one-way write: say where the gate sits",IF(AND(C16="write",I16="yes"),"server calls a write read-only: check it",IF(AND(C16="write",J16&lt;&gt;"yes"),"a retry writes twice: add an idempotency key + precondition",IF(AND(C16="read",I16&lt;&gt;"yes",K16&lt;&gt;"yes"),"read-only is a claim: verify it",IF(G16="","choose a control","ok")))))))</f>
        <v/>
      </c>
    </row>
    <row r="17" customFormat="false" ht="30" hidden="false" customHeight="true" outlineLevel="0" collapsed="false">
      <c r="A17" s="6"/>
      <c r="B17" s="6"/>
      <c r="C17" s="6"/>
      <c r="D17" s="6"/>
      <c r="E17" s="6"/>
      <c r="F17" s="6"/>
      <c r="G17" s="6"/>
      <c r="H17" s="6"/>
      <c r="I17" s="6"/>
      <c r="J17" s="6"/>
      <c r="K17" s="6"/>
      <c r="L17" s="9" t="str">
        <f aca="false">IF(A17="","",IF(AND(C17="write",OR(G17="",G17="policy")),"WRITE with no gate or approval",IF(AND(C17="write",D17="no",H17=""),"one-way write: say where the gate sits",IF(AND(C17="write",I17="yes"),"server calls a write read-only: check it",IF(AND(C17="write",J17&lt;&gt;"yes"),"a retry writes twice: add an idempotency key + precondition",IF(AND(C17="read",I17&lt;&gt;"yes",K17&lt;&gt;"yes"),"read-only is a claim: verify it",IF(G17="","choose a control","ok")))))))</f>
        <v/>
      </c>
    </row>
    <row r="18" customFormat="false" ht="30" hidden="false" customHeight="true" outlineLevel="0" collapsed="false">
      <c r="A18" s="6"/>
      <c r="B18" s="6"/>
      <c r="C18" s="6"/>
      <c r="D18" s="6"/>
      <c r="E18" s="6"/>
      <c r="F18" s="6"/>
      <c r="G18" s="6"/>
      <c r="H18" s="6"/>
      <c r="I18" s="6"/>
      <c r="J18" s="6"/>
      <c r="K18" s="6"/>
      <c r="L18" s="9" t="str">
        <f aca="false">IF(A18="","",IF(AND(C18="write",OR(G18="",G18="policy")),"WRITE with no gate or approval",IF(AND(C18="write",D18="no",H18=""),"one-way write: say where the gate sits",IF(AND(C18="write",I18="yes"),"server calls a write read-only: check it",IF(AND(C18="write",J18&lt;&gt;"yes"),"a retry writes twice: add an idempotency key + precondition",IF(AND(C18="read",I18&lt;&gt;"yes",K18&lt;&gt;"yes"),"read-only is a claim: verify it",IF(G18="","choose a control","ok")))))))</f>
        <v/>
      </c>
    </row>
    <row r="19" customFormat="false" ht="30" hidden="false" customHeight="true" outlineLevel="0" collapsed="false">
      <c r="A19" s="6"/>
      <c r="B19" s="6"/>
      <c r="C19" s="6"/>
      <c r="D19" s="6"/>
      <c r="E19" s="6"/>
      <c r="F19" s="6"/>
      <c r="G19" s="6"/>
      <c r="H19" s="6"/>
      <c r="I19" s="6"/>
      <c r="J19" s="6"/>
      <c r="K19" s="6"/>
      <c r="L19" s="9" t="str">
        <f aca="false">IF(A19="","",IF(AND(C19="write",OR(G19="",G19="policy")),"WRITE with no gate or approval",IF(AND(C19="write",D19="no",H19=""),"one-way write: say where the gate sits",IF(AND(C19="write",I19="yes"),"server calls a write read-only: check it",IF(AND(C19="write",J19&lt;&gt;"yes"),"a retry writes twice: add an idempotency key + precondition",IF(AND(C19="read",I19&lt;&gt;"yes",K19&lt;&gt;"yes"),"read-only is a claim: verify it",IF(G19="","choose a control","ok")))))))</f>
        <v/>
      </c>
    </row>
    <row r="20" customFormat="false" ht="30" hidden="false" customHeight="true" outlineLevel="0" collapsed="false">
      <c r="A20" s="6"/>
      <c r="B20" s="6"/>
      <c r="C20" s="6"/>
      <c r="D20" s="6"/>
      <c r="E20" s="6"/>
      <c r="F20" s="6"/>
      <c r="G20" s="6"/>
      <c r="H20" s="6"/>
      <c r="I20" s="6"/>
      <c r="J20" s="6"/>
      <c r="K20" s="6"/>
      <c r="L20" s="9" t="str">
        <f aca="false">IF(A20="","",IF(AND(C20="write",OR(G20="",G20="policy")),"WRITE with no gate or approval",IF(AND(C20="write",D20="no",H20=""),"one-way write: say where the gate sits",IF(AND(C20="write",I20="yes"),"server calls a write read-only: check it",IF(AND(C20="write",J20&lt;&gt;"yes"),"a retry writes twice: add an idempotency key + precondition",IF(AND(C20="read",I20&lt;&gt;"yes",K20&lt;&gt;"yes"),"read-only is a claim: verify it",IF(G20="","choose a control","ok")))))))</f>
        <v/>
      </c>
    </row>
    <row r="21" customFormat="false" ht="30" hidden="false" customHeight="true" outlineLevel="0" collapsed="false">
      <c r="A21" s="6"/>
      <c r="B21" s="6"/>
      <c r="C21" s="6"/>
      <c r="D21" s="6"/>
      <c r="E21" s="6"/>
      <c r="F21" s="6"/>
      <c r="G21" s="6"/>
      <c r="H21" s="6"/>
      <c r="I21" s="6"/>
      <c r="J21" s="6"/>
      <c r="K21" s="6"/>
      <c r="L21" s="9" t="str">
        <f aca="false">IF(A21="","",IF(AND(C21="write",OR(G21="",G21="policy")),"WRITE with no gate or approval",IF(AND(C21="write",D21="no",H21=""),"one-way write: say where the gate sits",IF(AND(C21="write",I21="yes"),"server calls a write read-only: check it",IF(AND(C21="write",J21&lt;&gt;"yes"),"a retry writes twice: add an idempotency key + precondition",IF(AND(C21="read",I21&lt;&gt;"yes",K21&lt;&gt;"yes"),"read-only is a claim: verify it",IF(G21="","choose a control","ok")))))))</f>
        <v/>
      </c>
    </row>
    <row r="22" customFormat="false" ht="15" hidden="false" customHeight="true" outlineLevel="0" collapsed="false">
      <c r="A22" s="3" t="s">
        <v>37</v>
      </c>
    </row>
    <row r="24" customFormat="false" ht="15" hidden="false" customHeight="true" outlineLevel="0" collapsed="false">
      <c r="A24" s="10" t="s">
        <v>38</v>
      </c>
    </row>
    <row r="25" customFormat="false" ht="17.25" hidden="false" customHeight="true" outlineLevel="0" collapsed="false">
      <c r="A25" s="11" t="s">
        <v>39</v>
      </c>
      <c r="B25" s="11"/>
      <c r="C25" s="11"/>
      <c r="D25" s="11"/>
      <c r="E25" s="9" t="n">
        <f aca="false">COUNTA(A8:A21)</f>
        <v>0</v>
      </c>
    </row>
    <row r="26" customFormat="false" ht="17.25" hidden="false" customHeight="true" outlineLevel="0" collapsed="false">
      <c r="A26" s="11" t="s">
        <v>40</v>
      </c>
      <c r="B26" s="11"/>
      <c r="C26" s="11"/>
      <c r="D26" s="11"/>
      <c r="E26" s="9" t="n">
        <f aca="false">COUNTIF(C8:C21,"write")</f>
        <v>0</v>
      </c>
    </row>
    <row r="27" customFormat="false" ht="17.25" hidden="false" customHeight="true" outlineLevel="0" collapsed="false">
      <c r="A27" s="11" t="s">
        <v>41</v>
      </c>
      <c r="B27" s="11"/>
      <c r="C27" s="11"/>
      <c r="D27" s="11"/>
      <c r="E27" s="9" t="n">
        <f aca="false">COUNTIFS(C8:C21,"write",D8:D21,"no")</f>
        <v>0</v>
      </c>
    </row>
    <row r="28" customFormat="false" ht="17.25" hidden="false" customHeight="true" outlineLevel="0" collapsed="false">
      <c r="A28" s="11" t="s">
        <v>42</v>
      </c>
      <c r="B28" s="11"/>
      <c r="C28" s="11"/>
      <c r="D28" s="11"/>
      <c r="E28" s="9" t="n">
        <f aca="false">SUMPRODUCT((L8:L21&lt;&gt;"")*(L8:L21&lt;&gt;"ok"))</f>
        <v>0</v>
      </c>
    </row>
    <row r="29" customFormat="false" ht="17.25" hidden="false" customHeight="true" outlineLevel="0" collapsed="false">
      <c r="A29" s="11" t="s">
        <v>43</v>
      </c>
      <c r="B29" s="11"/>
      <c r="C29" s="11"/>
      <c r="D29" s="11"/>
      <c r="E29" s="9" t="n">
        <f aca="false">COUNTIFS(C8:C21,"read",K8:K21,"yes")</f>
        <v>0</v>
      </c>
    </row>
    <row r="32" customFormat="false" ht="15" hidden="false" customHeight="true" outlineLevel="0" collapsed="false">
      <c r="A32" s="10" t="s">
        <v>44</v>
      </c>
    </row>
    <row r="33" customFormat="false" ht="31.5" hidden="false" customHeight="true" outlineLevel="0" collapsed="false">
      <c r="A33" s="8" t="s">
        <v>45</v>
      </c>
      <c r="B33" s="8" t="s">
        <v>46</v>
      </c>
      <c r="C33" s="8" t="s">
        <v>47</v>
      </c>
      <c r="D33" s="8" t="s">
        <v>48</v>
      </c>
      <c r="E33" s="8"/>
      <c r="F33" s="8"/>
      <c r="G33" s="8" t="s">
        <v>49</v>
      </c>
      <c r="H33" s="8"/>
    </row>
    <row r="34" customFormat="false" ht="30" hidden="false" customHeight="true" outlineLevel="0" collapsed="false">
      <c r="A34" s="11" t="s">
        <v>50</v>
      </c>
      <c r="B34" s="7"/>
      <c r="C34" s="9" t="s">
        <v>51</v>
      </c>
      <c r="D34" s="6"/>
      <c r="E34" s="6"/>
      <c r="F34" s="6"/>
      <c r="G34" s="6"/>
      <c r="H34" s="6"/>
    </row>
    <row r="35" customFormat="false" ht="30" hidden="false" customHeight="true" outlineLevel="0" collapsed="false">
      <c r="A35" s="11" t="s">
        <v>52</v>
      </c>
      <c r="B35" s="12"/>
      <c r="C35" s="9" t="s">
        <v>53</v>
      </c>
      <c r="D35" s="6"/>
      <c r="E35" s="6"/>
      <c r="F35" s="6"/>
      <c r="G35" s="6"/>
      <c r="H35" s="6"/>
    </row>
    <row r="36" customFormat="false" ht="30" hidden="false" customHeight="true" outlineLevel="0" collapsed="false">
      <c r="A36" s="11" t="s">
        <v>54</v>
      </c>
      <c r="B36" s="7"/>
      <c r="C36" s="9" t="s">
        <v>55</v>
      </c>
      <c r="D36" s="6"/>
      <c r="E36" s="6"/>
      <c r="F36" s="6"/>
      <c r="G36" s="6"/>
      <c r="H36" s="6"/>
    </row>
    <row r="37" customFormat="false" ht="15" hidden="false" customHeight="true" outlineLevel="0" collapsed="false">
      <c r="A37" s="3" t="str">
        <f aca="false">IF(COUNT(B34:B36)=3,"All three caps have a number.","A cap with no number is not a cap: "&amp;(3-COUNT(B34:B36))&amp;" still open.")</f>
        <v>A cap with no number is not a cap: 3 still open.</v>
      </c>
    </row>
    <row r="39" customFormat="false" ht="15" hidden="false" customHeight="true" outlineLevel="0" collapsed="false">
      <c r="A39" s="10" t="s">
        <v>56</v>
      </c>
    </row>
    <row r="40" customFormat="false" ht="31.5" hidden="false" customHeight="true" outlineLevel="0" collapsed="false">
      <c r="A40" s="8" t="s">
        <v>57</v>
      </c>
      <c r="B40" s="8" t="s">
        <v>58</v>
      </c>
      <c r="C40" s="8" t="s">
        <v>59</v>
      </c>
      <c r="D40" s="8"/>
      <c r="E40" s="8"/>
      <c r="F40" s="8" t="s">
        <v>60</v>
      </c>
      <c r="G40" s="8"/>
      <c r="H40" s="8"/>
    </row>
    <row r="41" customFormat="false" ht="30" hidden="false" customHeight="true" outlineLevel="0" collapsed="false">
      <c r="A41" s="11" t="s">
        <v>61</v>
      </c>
      <c r="B41" s="6"/>
      <c r="C41" s="6"/>
      <c r="D41" s="6"/>
      <c r="E41" s="6"/>
      <c r="F41" s="6"/>
      <c r="G41" s="6"/>
      <c r="H41" s="6"/>
    </row>
    <row r="42" customFormat="false" ht="30" hidden="false" customHeight="true" outlineLevel="0" collapsed="false">
      <c r="A42" s="11" t="s">
        <v>62</v>
      </c>
      <c r="B42" s="6"/>
      <c r="C42" s="6"/>
      <c r="D42" s="6"/>
      <c r="E42" s="6"/>
      <c r="F42" s="6"/>
      <c r="G42" s="6"/>
      <c r="H42" s="6"/>
    </row>
    <row r="43" customFormat="false" ht="30.75" hidden="false" customHeight="true" outlineLevel="0" collapsed="false">
      <c r="A43" s="11" t="s">
        <v>63</v>
      </c>
      <c r="B43" s="6"/>
      <c r="C43" s="6"/>
      <c r="D43" s="6"/>
      <c r="E43" s="6"/>
      <c r="F43" s="6"/>
      <c r="G43" s="6"/>
      <c r="H43" s="6"/>
    </row>
    <row r="44" customFormat="false" ht="30" hidden="false" customHeight="true" outlineLevel="0" collapsed="false">
      <c r="A44" s="11" t="s">
        <v>64</v>
      </c>
      <c r="B44" s="6"/>
      <c r="C44" s="6"/>
      <c r="D44" s="6"/>
      <c r="E44" s="6"/>
      <c r="F44" s="6"/>
      <c r="G44" s="6"/>
      <c r="H44" s="6"/>
    </row>
    <row r="45" customFormat="false" ht="30" hidden="false" customHeight="true" outlineLevel="0" collapsed="false">
      <c r="A45" s="11" t="s">
        <v>65</v>
      </c>
      <c r="B45" s="6"/>
      <c r="C45" s="6"/>
      <c r="D45" s="6"/>
      <c r="E45" s="6"/>
      <c r="F45" s="6"/>
      <c r="G45" s="6"/>
      <c r="H45" s="6"/>
    </row>
    <row r="46" customFormat="false" ht="15" hidden="false" customHeight="true" outlineLevel="0" collapsed="false">
      <c r="A46" s="3" t="str">
        <f aca="false">IF(COUNTIF(B41:B45,"yes")=5,"All five can be produced.",IF(COUNTBLANK(B41:B45)&gt;0,"Answer all five.","You cannot produce "&amp;COUNTIF(B41:B45,"no")&amp;" of five. An audit trail cannot be added afterwards to writes that already happened."))</f>
        <v>Answer all five.</v>
      </c>
    </row>
  </sheetData>
  <mergeCells count="26">
    <mergeCell ref="B4:F4"/>
    <mergeCell ref="A25:D25"/>
    <mergeCell ref="A26:D26"/>
    <mergeCell ref="A27:D27"/>
    <mergeCell ref="A28:D28"/>
    <mergeCell ref="A29:D29"/>
    <mergeCell ref="D33:F33"/>
    <mergeCell ref="G33:H33"/>
    <mergeCell ref="D34:F34"/>
    <mergeCell ref="G34:H34"/>
    <mergeCell ref="D35:F35"/>
    <mergeCell ref="G35:H35"/>
    <mergeCell ref="D36:F36"/>
    <mergeCell ref="G36:H36"/>
    <mergeCell ref="C40:E40"/>
    <mergeCell ref="F40:H40"/>
    <mergeCell ref="C41:E41"/>
    <mergeCell ref="F41:H41"/>
    <mergeCell ref="C42:E42"/>
    <mergeCell ref="F42:H42"/>
    <mergeCell ref="C43:E43"/>
    <mergeCell ref="F43:H43"/>
    <mergeCell ref="C44:E44"/>
    <mergeCell ref="F44:H44"/>
    <mergeCell ref="C45:E45"/>
    <mergeCell ref="F45:H45"/>
  </mergeCells>
  <conditionalFormatting sqref="L8:L21">
    <cfRule type="expression" priority="2" aboveAverage="0" equalAverage="0" bottom="0" percent="0" rank="0" text="" dxfId="0">
      <formula>AND(L8&lt;&gt;"",L8&lt;&gt;"ok")</formula>
    </cfRule>
    <cfRule type="expression" priority="3" aboveAverage="0" equalAverage="0" bottom="0" percent="0" rank="0" text="" dxfId="1">
      <formula>L8="ok"</formula>
    </cfRule>
  </conditionalFormatting>
  <dataValidations count="5">
    <dataValidation allowBlank="true" error="Allowed values: read, write" errorStyle="stop" errorTitle="Pick from the list" operator="between" showDropDown="false" showErrorMessage="true" showInputMessage="false" sqref="C8:C21" type="list">
      <formula1>"read,write"</formula1>
      <formula2>0</formula2>
    </dataValidation>
    <dataValidation allowBlank="true" error="Allowed values: yes, no, n/a" errorStyle="stop" errorTitle="Pick from the list" operator="between" showDropDown="false" showErrorMessage="true" showInputMessage="false" sqref="D8:D21" type="list">
      <formula1>"yes,no,n/a"</formula1>
      <formula2>0</formula2>
    </dataValidation>
    <dataValidation allowBlank="true" error="Allowed values: removed, gated, policy, approved" errorStyle="stop" errorTitle="Pick from the list" operator="between" showDropDown="false" showErrorMessage="true" showInputMessage="false" sqref="G8:G21" type="list">
      <formula1>"removed,gated,policy,approved"</formula1>
      <formula2>0</formula2>
    </dataValidation>
    <dataValidation allowBlank="true" error="Allowed values: yes, no, n/a" errorStyle="stop" errorTitle="Pick from the list" operator="between" showDropDown="false" showErrorMessage="true" showInputMessage="false" sqref="I8:K21" type="list">
      <formula1>"yes,no,n/a"</formula1>
      <formula2>0</formula2>
    </dataValidation>
    <dataValidation allowBlank="true" error="Allowed values: yes, no" errorStyle="stop" errorTitle="Pick from the list" operator="between" showDropDown="false" showErrorMessage="true" showInputMessage="false" sqref="B41:B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12"/>
    <col collapsed="false" customWidth="true" hidden="false" outlineLevel="0" max="4" min="4" style="1" width="16"/>
    <col collapsed="false" customWidth="true" hidden="false" outlineLevel="0" max="5" min="5" style="1" width="22"/>
    <col collapsed="false" customWidth="true" hidden="false" outlineLevel="0" max="6" min="6" style="1" width="34"/>
    <col collapsed="false" customWidth="true" hidden="false" outlineLevel="0" max="7" min="7" style="1" width="12"/>
    <col collapsed="false" customWidth="true" hidden="false" outlineLevel="0" max="8" min="8" style="1" width="34"/>
    <col collapsed="false" customWidth="true" hidden="false" outlineLevel="0" max="11" min="9" style="1" width="13"/>
    <col collapsed="false" customWidth="true" hidden="false" outlineLevel="0" max="12" min="12" style="1" width="46"/>
  </cols>
  <sheetData>
    <row r="1" customFormat="false" ht="19.5" hidden="false" customHeight="true" outlineLevel="0" collapsed="false">
      <c r="A1" s="2" t="s">
        <v>20</v>
      </c>
    </row>
    <row r="2" customFormat="false" ht="15" hidden="false" customHeight="true" outlineLevel="0" collapsed="false">
      <c r="A2" s="3" t="s">
        <v>66</v>
      </c>
    </row>
    <row r="4" customFormat="false" ht="17.25" hidden="false" customHeight="true" outlineLevel="0" collapsed="false">
      <c r="A4" s="4" t="s">
        <v>22</v>
      </c>
      <c r="B4" s="6" t="s">
        <v>67</v>
      </c>
      <c r="C4" s="6"/>
      <c r="D4" s="6"/>
      <c r="E4" s="6"/>
      <c r="F4" s="6"/>
    </row>
    <row r="5" customFormat="false" ht="17.25" hidden="false" customHeight="true" outlineLevel="0" collapsed="false">
      <c r="A5" s="4" t="s">
        <v>23</v>
      </c>
      <c r="B5" s="7" t="n">
        <v>5</v>
      </c>
      <c r="C5" s="3" t="s">
        <v>24</v>
      </c>
    </row>
    <row r="7" customFormat="false" ht="57.75" hidden="false" customHeight="true" outlineLevel="0" collapsed="false">
      <c r="A7" s="8" t="s">
        <v>25</v>
      </c>
      <c r="B7" s="8" t="s">
        <v>26</v>
      </c>
      <c r="C7" s="8" t="s">
        <v>27</v>
      </c>
      <c r="D7" s="8" t="s">
        <v>28</v>
      </c>
      <c r="E7" s="8" t="s">
        <v>29</v>
      </c>
      <c r="F7" s="8" t="s">
        <v>30</v>
      </c>
      <c r="G7" s="8" t="s">
        <v>31</v>
      </c>
      <c r="H7" s="8" t="s">
        <v>32</v>
      </c>
      <c r="I7" s="8" t="s">
        <v>33</v>
      </c>
      <c r="J7" s="8" t="s">
        <v>34</v>
      </c>
      <c r="K7" s="8" t="s">
        <v>35</v>
      </c>
      <c r="L7" s="8" t="s">
        <v>36</v>
      </c>
    </row>
    <row r="8" customFormat="false" ht="30" hidden="false" customHeight="true" outlineLevel="0" collapsed="false">
      <c r="A8" s="6" t="s">
        <v>68</v>
      </c>
      <c r="B8" s="6" t="s">
        <v>69</v>
      </c>
      <c r="C8" s="6" t="s">
        <v>70</v>
      </c>
      <c r="D8" s="6" t="s">
        <v>71</v>
      </c>
      <c r="E8" s="6"/>
      <c r="F8" s="6" t="s">
        <v>72</v>
      </c>
      <c r="G8" s="6" t="s">
        <v>73</v>
      </c>
      <c r="H8" s="6" t="s">
        <v>74</v>
      </c>
      <c r="I8" s="6" t="s">
        <v>75</v>
      </c>
      <c r="J8" s="6" t="s">
        <v>71</v>
      </c>
      <c r="K8" s="6" t="s">
        <v>75</v>
      </c>
      <c r="L8" s="9" t="str">
        <f aca="false">IF(A8="","",IF(AND(C8="write",OR(G8="",G8="policy")),"WRITE with no gate or approval",IF(AND(C8="write",D8="no",H8=""),"one-way write: say where the gate sits",IF(AND(C8="write",I8="yes"),"server calls a write read-only: check it",IF(AND(C8="write",J8&lt;&gt;"yes"),"a retry writes twice: add an idempotency key + precondition",IF(AND(C8="read",I8&lt;&gt;"yes",K8&lt;&gt;"yes"),"read-only is a claim: verify it",IF(G8="","choose a control","ok")))))))</f>
        <v>ok</v>
      </c>
    </row>
    <row r="9" customFormat="false" ht="30" hidden="false" customHeight="true" outlineLevel="0" collapsed="false">
      <c r="A9" s="6" t="s">
        <v>76</v>
      </c>
      <c r="B9" s="6" t="s">
        <v>69</v>
      </c>
      <c r="C9" s="6" t="s">
        <v>70</v>
      </c>
      <c r="D9" s="6" t="s">
        <v>71</v>
      </c>
      <c r="E9" s="6"/>
      <c r="F9" s="6" t="s">
        <v>77</v>
      </c>
      <c r="G9" s="6" t="s">
        <v>73</v>
      </c>
      <c r="H9" s="6" t="s">
        <v>74</v>
      </c>
      <c r="I9" s="6" t="s">
        <v>75</v>
      </c>
      <c r="J9" s="6" t="s">
        <v>71</v>
      </c>
      <c r="K9" s="6" t="s">
        <v>75</v>
      </c>
      <c r="L9" s="9" t="str">
        <f aca="false">IF(A9="","",IF(AND(C9="write",OR(G9="",G9="policy")),"WRITE with no gate or approval",IF(AND(C9="write",D9="no",H9=""),"one-way write: say where the gate sits",IF(AND(C9="write",I9="yes"),"server calls a write read-only: check it",IF(AND(C9="write",J9&lt;&gt;"yes"),"a retry writes twice: add an idempotency key + precondition",IF(AND(C9="read",I9&lt;&gt;"yes",K9&lt;&gt;"yes"),"read-only is a claim: verify it",IF(G9="","choose a control","ok")))))))</f>
        <v>ok</v>
      </c>
    </row>
    <row r="10" customFormat="false" ht="30" hidden="false" customHeight="true" outlineLevel="0" collapsed="false">
      <c r="A10" s="6" t="s">
        <v>78</v>
      </c>
      <c r="B10" s="6" t="s">
        <v>69</v>
      </c>
      <c r="C10" s="6" t="s">
        <v>70</v>
      </c>
      <c r="D10" s="6" t="s">
        <v>71</v>
      </c>
      <c r="E10" s="6"/>
      <c r="F10" s="6" t="s">
        <v>77</v>
      </c>
      <c r="G10" s="6" t="s">
        <v>73</v>
      </c>
      <c r="H10" s="6" t="s">
        <v>74</v>
      </c>
      <c r="I10" s="6" t="s">
        <v>75</v>
      </c>
      <c r="J10" s="6" t="s">
        <v>71</v>
      </c>
      <c r="K10" s="6" t="s">
        <v>75</v>
      </c>
      <c r="L10" s="9" t="str">
        <f aca="false">IF(A10="","",IF(AND(C10="write",OR(G10="",G10="policy")),"WRITE with no gate or approval",IF(AND(C10="write",D10="no",H10=""),"one-way write: say where the gate sits",IF(AND(C10="write",I10="yes"),"server calls a write read-only: check it",IF(AND(C10="write",J10&lt;&gt;"yes"),"a retry writes twice: add an idempotency key + precondition",IF(AND(C10="read",I10&lt;&gt;"yes",K10&lt;&gt;"yes"),"read-only is a claim: verify it",IF(G10="","choose a control","ok")))))))</f>
        <v>ok</v>
      </c>
    </row>
    <row r="11" customFormat="false" ht="56.25" hidden="false" customHeight="true" outlineLevel="0" collapsed="false">
      <c r="A11" s="6" t="s">
        <v>79</v>
      </c>
      <c r="B11" s="6" t="s">
        <v>69</v>
      </c>
      <c r="C11" s="6" t="s">
        <v>80</v>
      </c>
      <c r="D11" s="6" t="s">
        <v>81</v>
      </c>
      <c r="E11" s="6" t="s">
        <v>82</v>
      </c>
      <c r="F11" s="6" t="s">
        <v>83</v>
      </c>
      <c r="G11" s="6" t="s">
        <v>84</v>
      </c>
      <c r="H11" s="6" t="s">
        <v>85</v>
      </c>
      <c r="I11" s="6" t="s">
        <v>81</v>
      </c>
      <c r="J11" s="6" t="s">
        <v>75</v>
      </c>
      <c r="K11" s="6" t="s">
        <v>71</v>
      </c>
      <c r="L11" s="9" t="str">
        <f aca="false">IF(A11="","",IF(AND(C11="write",OR(G11="",G11="policy")),"WRITE with no gate or approval",IF(AND(C11="write",D11="no",H11=""),"one-way write: say where the gate sits",IF(AND(C11="write",I11="yes"),"server calls a write read-only: check it",IF(AND(C11="write",J11&lt;&gt;"yes"),"a retry writes twice: add an idempotency key + precondition",IF(AND(C11="read",I11&lt;&gt;"yes",K11&lt;&gt;"yes"),"read-only is a claim: verify it",IF(G11="","choose a control","ok")))))))</f>
        <v>ok</v>
      </c>
    </row>
    <row r="12" customFormat="false" ht="30" hidden="false" customHeight="true" outlineLevel="0" collapsed="false">
      <c r="A12" s="6" t="s">
        <v>86</v>
      </c>
      <c r="B12" s="6" t="s">
        <v>87</v>
      </c>
      <c r="C12" s="6" t="s">
        <v>70</v>
      </c>
      <c r="D12" s="6" t="s">
        <v>71</v>
      </c>
      <c r="E12" s="6"/>
      <c r="F12" s="6" t="s">
        <v>77</v>
      </c>
      <c r="G12" s="6" t="s">
        <v>73</v>
      </c>
      <c r="H12" s="6" t="s">
        <v>74</v>
      </c>
      <c r="I12" s="6" t="s">
        <v>75</v>
      </c>
      <c r="J12" s="6" t="s">
        <v>71</v>
      </c>
      <c r="K12" s="6" t="s">
        <v>75</v>
      </c>
      <c r="L12" s="9" t="str">
        <f aca="false">IF(A12="","",IF(AND(C12="write",OR(G12="",G12="policy")),"WRITE with no gate or approval",IF(AND(C12="write",D12="no",H12=""),"one-way write: say where the gate sits",IF(AND(C12="write",I12="yes"),"server calls a write read-only: check it",IF(AND(C12="write",J12&lt;&gt;"yes"),"a retry writes twice: add an idempotency key + precondition",IF(AND(C12="read",I12&lt;&gt;"yes",K12&lt;&gt;"yes"),"read-only is a claim: verify it",IF(G12="","choose a control","ok")))))))</f>
        <v>ok</v>
      </c>
    </row>
    <row r="13" customFormat="false" ht="30" hidden="false" customHeight="true" outlineLevel="0" collapsed="false">
      <c r="A13" s="6" t="s">
        <v>88</v>
      </c>
      <c r="B13" s="6" t="s">
        <v>87</v>
      </c>
      <c r="C13" s="6" t="s">
        <v>70</v>
      </c>
      <c r="D13" s="6" t="s">
        <v>71</v>
      </c>
      <c r="E13" s="6"/>
      <c r="F13" s="6" t="s">
        <v>77</v>
      </c>
      <c r="G13" s="6" t="s">
        <v>73</v>
      </c>
      <c r="H13" s="6" t="s">
        <v>74</v>
      </c>
      <c r="I13" s="6" t="s">
        <v>75</v>
      </c>
      <c r="J13" s="6" t="s">
        <v>71</v>
      </c>
      <c r="K13" s="6" t="s">
        <v>75</v>
      </c>
      <c r="L13" s="9" t="str">
        <f aca="false">IF(A13="","",IF(AND(C13="write",OR(G13="",G13="policy")),"WRITE with no gate or approval",IF(AND(C13="write",D13="no",H13=""),"one-way write: say where the gate sits",IF(AND(C13="write",I13="yes"),"server calls a write read-only: check it",IF(AND(C13="write",J13&lt;&gt;"yes"),"a retry writes twice: add an idempotency key + precondition",IF(AND(C13="read",I13&lt;&gt;"yes",K13&lt;&gt;"yes"),"read-only is a claim: verify it",IF(G13="","choose a control","ok")))))))</f>
        <v>ok</v>
      </c>
    </row>
    <row r="14" customFormat="false" ht="30" hidden="false" customHeight="true" outlineLevel="0" collapsed="false">
      <c r="A14" s="6" t="s">
        <v>89</v>
      </c>
      <c r="B14" s="6" t="s">
        <v>87</v>
      </c>
      <c r="C14" s="6" t="s">
        <v>70</v>
      </c>
      <c r="D14" s="6" t="s">
        <v>71</v>
      </c>
      <c r="E14" s="6"/>
      <c r="F14" s="6" t="s">
        <v>77</v>
      </c>
      <c r="G14" s="6" t="s">
        <v>73</v>
      </c>
      <c r="H14" s="6" t="s">
        <v>74</v>
      </c>
      <c r="I14" s="6" t="s">
        <v>75</v>
      </c>
      <c r="J14" s="6" t="s">
        <v>71</v>
      </c>
      <c r="K14" s="6" t="s">
        <v>75</v>
      </c>
      <c r="L14" s="9" t="str">
        <f aca="false">IF(A14="","",IF(AND(C14="write",OR(G14="",G14="policy")),"WRITE with no gate or approval",IF(AND(C14="write",D14="no",H14=""),"one-way write: say where the gate sits",IF(AND(C14="write",I14="yes"),"server calls a write read-only: check it",IF(AND(C14="write",J14&lt;&gt;"yes"),"a retry writes twice: add an idempotency key + precondition",IF(AND(C14="read",I14&lt;&gt;"yes",K14&lt;&gt;"yes"),"read-only is a claim: verify it",IF(G14="","choose a control","ok")))))))</f>
        <v>ok</v>
      </c>
    </row>
    <row r="15" customFormat="false" ht="30" hidden="false" customHeight="true" outlineLevel="0" collapsed="false">
      <c r="A15" s="6"/>
      <c r="B15" s="6"/>
      <c r="C15" s="6"/>
      <c r="D15" s="6"/>
      <c r="E15" s="6"/>
      <c r="F15" s="6"/>
      <c r="G15" s="6"/>
      <c r="H15" s="6"/>
      <c r="I15" s="6"/>
      <c r="J15" s="6"/>
      <c r="K15" s="6"/>
      <c r="L15" s="9" t="str">
        <f aca="false">IF(A15="","",IF(AND(C15="write",OR(G15="",G15="policy")),"WRITE with no gate or approval",IF(AND(C15="write",D15="no",H15=""),"one-way write: say where the gate sits",IF(AND(C15="write",I15="yes"),"server calls a write read-only: check it",IF(AND(C15="write",J15&lt;&gt;"yes"),"a retry writes twice: add an idempotency key + precondition",IF(AND(C15="read",I15&lt;&gt;"yes",K15&lt;&gt;"yes"),"read-only is a claim: verify it",IF(G15="","choose a control","ok")))))))</f>
        <v/>
      </c>
    </row>
    <row r="16" customFormat="false" ht="30" hidden="false" customHeight="true" outlineLevel="0" collapsed="false">
      <c r="A16" s="6"/>
      <c r="B16" s="6"/>
      <c r="C16" s="6"/>
      <c r="D16" s="6"/>
      <c r="E16" s="6"/>
      <c r="F16" s="6"/>
      <c r="G16" s="6"/>
      <c r="H16" s="6"/>
      <c r="I16" s="6"/>
      <c r="J16" s="6"/>
      <c r="K16" s="6"/>
      <c r="L16" s="9" t="str">
        <f aca="false">IF(A16="","",IF(AND(C16="write",OR(G16="",G16="policy")),"WRITE with no gate or approval",IF(AND(C16="write",D16="no",H16=""),"one-way write: say where the gate sits",IF(AND(C16="write",I16="yes"),"server calls a write read-only: check it",IF(AND(C16="write",J16&lt;&gt;"yes"),"a retry writes twice: add an idempotency key + precondition",IF(AND(C16="read",I16&lt;&gt;"yes",K16&lt;&gt;"yes"),"read-only is a claim: verify it",IF(G16="","choose a control","ok")))))))</f>
        <v/>
      </c>
    </row>
    <row r="17" customFormat="false" ht="30" hidden="false" customHeight="true" outlineLevel="0" collapsed="false">
      <c r="A17" s="6"/>
      <c r="B17" s="6"/>
      <c r="C17" s="6"/>
      <c r="D17" s="6"/>
      <c r="E17" s="6"/>
      <c r="F17" s="6"/>
      <c r="G17" s="6"/>
      <c r="H17" s="6"/>
      <c r="I17" s="6"/>
      <c r="J17" s="6"/>
      <c r="K17" s="6"/>
      <c r="L17" s="9" t="str">
        <f aca="false">IF(A17="","",IF(AND(C17="write",OR(G17="",G17="policy")),"WRITE with no gate or approval",IF(AND(C17="write",D17="no",H17=""),"one-way write: say where the gate sits",IF(AND(C17="write",I17="yes"),"server calls a write read-only: check it",IF(AND(C17="write",J17&lt;&gt;"yes"),"a retry writes twice: add an idempotency key + precondition",IF(AND(C17="read",I17&lt;&gt;"yes",K17&lt;&gt;"yes"),"read-only is a claim: verify it",IF(G17="","choose a control","ok")))))))</f>
        <v/>
      </c>
    </row>
    <row r="18" customFormat="false" ht="30" hidden="false" customHeight="true" outlineLevel="0" collapsed="false">
      <c r="A18" s="6"/>
      <c r="B18" s="6"/>
      <c r="C18" s="6"/>
      <c r="D18" s="6"/>
      <c r="E18" s="6"/>
      <c r="F18" s="6"/>
      <c r="G18" s="6"/>
      <c r="H18" s="6"/>
      <c r="I18" s="6"/>
      <c r="J18" s="6"/>
      <c r="K18" s="6"/>
      <c r="L18" s="9" t="str">
        <f aca="false">IF(A18="","",IF(AND(C18="write",OR(G18="",G18="policy")),"WRITE with no gate or approval",IF(AND(C18="write",D18="no",H18=""),"one-way write: say where the gate sits",IF(AND(C18="write",I18="yes"),"server calls a write read-only: check it",IF(AND(C18="write",J18&lt;&gt;"yes"),"a retry writes twice: add an idempotency key + precondition",IF(AND(C18="read",I18&lt;&gt;"yes",K18&lt;&gt;"yes"),"read-only is a claim: verify it",IF(G18="","choose a control","ok")))))))</f>
        <v/>
      </c>
    </row>
    <row r="19" customFormat="false" ht="30" hidden="false" customHeight="true" outlineLevel="0" collapsed="false">
      <c r="A19" s="6"/>
      <c r="B19" s="6"/>
      <c r="C19" s="6"/>
      <c r="D19" s="6"/>
      <c r="E19" s="6"/>
      <c r="F19" s="6"/>
      <c r="G19" s="6"/>
      <c r="H19" s="6"/>
      <c r="I19" s="6"/>
      <c r="J19" s="6"/>
      <c r="K19" s="6"/>
      <c r="L19" s="9" t="str">
        <f aca="false">IF(A19="","",IF(AND(C19="write",OR(G19="",G19="policy")),"WRITE with no gate or approval",IF(AND(C19="write",D19="no",H19=""),"one-way write: say where the gate sits",IF(AND(C19="write",I19="yes"),"server calls a write read-only: check it",IF(AND(C19="write",J19&lt;&gt;"yes"),"a retry writes twice: add an idempotency key + precondition",IF(AND(C19="read",I19&lt;&gt;"yes",K19&lt;&gt;"yes"),"read-only is a claim: verify it",IF(G19="","choose a control","ok")))))))</f>
        <v/>
      </c>
    </row>
    <row r="20" customFormat="false" ht="30" hidden="false" customHeight="true" outlineLevel="0" collapsed="false">
      <c r="A20" s="6"/>
      <c r="B20" s="6"/>
      <c r="C20" s="6"/>
      <c r="D20" s="6"/>
      <c r="E20" s="6"/>
      <c r="F20" s="6"/>
      <c r="G20" s="6"/>
      <c r="H20" s="6"/>
      <c r="I20" s="6"/>
      <c r="J20" s="6"/>
      <c r="K20" s="6"/>
      <c r="L20" s="9" t="str">
        <f aca="false">IF(A20="","",IF(AND(C20="write",OR(G20="",G20="policy")),"WRITE with no gate or approval",IF(AND(C20="write",D20="no",H20=""),"one-way write: say where the gate sits",IF(AND(C20="write",I20="yes"),"server calls a write read-only: check it",IF(AND(C20="write",J20&lt;&gt;"yes"),"a retry writes twice: add an idempotency key + precondition",IF(AND(C20="read",I20&lt;&gt;"yes",K20&lt;&gt;"yes"),"read-only is a claim: verify it",IF(G20="","choose a control","ok")))))))</f>
        <v/>
      </c>
    </row>
    <row r="21" customFormat="false" ht="30" hidden="false" customHeight="true" outlineLevel="0" collapsed="false">
      <c r="A21" s="6"/>
      <c r="B21" s="6"/>
      <c r="C21" s="6"/>
      <c r="D21" s="6"/>
      <c r="E21" s="6"/>
      <c r="F21" s="6"/>
      <c r="G21" s="6"/>
      <c r="H21" s="6"/>
      <c r="I21" s="6"/>
      <c r="J21" s="6"/>
      <c r="K21" s="6"/>
      <c r="L21" s="9" t="str">
        <f aca="false">IF(A21="","",IF(AND(C21="write",OR(G21="",G21="policy")),"WRITE with no gate or approval",IF(AND(C21="write",D21="no",H21=""),"one-way write: say where the gate sits",IF(AND(C21="write",I21="yes"),"server calls a write read-only: check it",IF(AND(C21="write",J21&lt;&gt;"yes"),"a retry writes twice: add an idempotency key + precondition",IF(AND(C21="read",I21&lt;&gt;"yes",K21&lt;&gt;"yes"),"read-only is a claim: verify it",IF(G21="","choose a control","ok")))))))</f>
        <v/>
      </c>
    </row>
    <row r="22" customFormat="false" ht="15" hidden="false" customHeight="true" outlineLevel="0" collapsed="false">
      <c r="A22" s="3" t="s">
        <v>37</v>
      </c>
    </row>
    <row r="24" customFormat="false" ht="15" hidden="false" customHeight="true" outlineLevel="0" collapsed="false">
      <c r="A24" s="10" t="s">
        <v>38</v>
      </c>
    </row>
    <row r="25" customFormat="false" ht="17.25" hidden="false" customHeight="true" outlineLevel="0" collapsed="false">
      <c r="A25" s="11" t="s">
        <v>39</v>
      </c>
      <c r="B25" s="11"/>
      <c r="C25" s="11"/>
      <c r="D25" s="11"/>
      <c r="E25" s="9" t="n">
        <f aca="false">COUNTA(A8:A21)</f>
        <v>7</v>
      </c>
    </row>
    <row r="26" customFormat="false" ht="17.25" hidden="false" customHeight="true" outlineLevel="0" collapsed="false">
      <c r="A26" s="11" t="s">
        <v>40</v>
      </c>
      <c r="B26" s="11"/>
      <c r="C26" s="11"/>
      <c r="D26" s="11"/>
      <c r="E26" s="9" t="n">
        <f aca="false">COUNTIF(C8:C21,"write")</f>
        <v>1</v>
      </c>
    </row>
    <row r="27" customFormat="false" ht="17.25" hidden="false" customHeight="true" outlineLevel="0" collapsed="false">
      <c r="A27" s="11" t="s">
        <v>41</v>
      </c>
      <c r="B27" s="11"/>
      <c r="C27" s="11"/>
      <c r="D27" s="11"/>
      <c r="E27" s="9" t="n">
        <f aca="false">COUNTIFS(C8:C21,"write",D8:D21,"no")</f>
        <v>1</v>
      </c>
    </row>
    <row r="28" customFormat="false" ht="17.25" hidden="false" customHeight="true" outlineLevel="0" collapsed="false">
      <c r="A28" s="11" t="s">
        <v>42</v>
      </c>
      <c r="B28" s="11"/>
      <c r="C28" s="11"/>
      <c r="D28" s="11"/>
      <c r="E28" s="9" t="n">
        <f aca="false">SUMPRODUCT((L8:L21&lt;&gt;"")*(L8:L21&lt;&gt;"ok"))</f>
        <v>0</v>
      </c>
    </row>
    <row r="29" customFormat="false" ht="17.25" hidden="false" customHeight="true" outlineLevel="0" collapsed="false">
      <c r="A29" s="11" t="s">
        <v>43</v>
      </c>
      <c r="B29" s="11"/>
      <c r="C29" s="11"/>
      <c r="D29" s="11"/>
      <c r="E29" s="9" t="n">
        <f aca="false">COUNTIFS(C8:C21,"read",K8:K21,"yes")</f>
        <v>6</v>
      </c>
    </row>
    <row r="32" customFormat="false" ht="15" hidden="false" customHeight="true" outlineLevel="0" collapsed="false">
      <c r="A32" s="10" t="s">
        <v>44</v>
      </c>
    </row>
    <row r="33" customFormat="false" ht="31.5" hidden="false" customHeight="true" outlineLevel="0" collapsed="false">
      <c r="A33" s="8" t="s">
        <v>45</v>
      </c>
      <c r="B33" s="8" t="s">
        <v>46</v>
      </c>
      <c r="C33" s="8" t="s">
        <v>47</v>
      </c>
      <c r="D33" s="8" t="s">
        <v>48</v>
      </c>
      <c r="E33" s="8"/>
      <c r="F33" s="8"/>
      <c r="G33" s="8" t="s">
        <v>49</v>
      </c>
      <c r="H33" s="8"/>
    </row>
    <row r="34" customFormat="false" ht="30.75" hidden="false" customHeight="true" outlineLevel="0" collapsed="false">
      <c r="A34" s="11" t="s">
        <v>50</v>
      </c>
      <c r="B34" s="7" t="n">
        <v>10</v>
      </c>
      <c r="C34" s="9" t="s">
        <v>51</v>
      </c>
      <c r="D34" s="6" t="s">
        <v>90</v>
      </c>
      <c r="E34" s="6"/>
      <c r="F34" s="6"/>
      <c r="G34" s="6" t="s">
        <v>91</v>
      </c>
      <c r="H34" s="6"/>
    </row>
    <row r="35" customFormat="false" ht="30.75" hidden="false" customHeight="true" outlineLevel="0" collapsed="false">
      <c r="A35" s="11" t="s">
        <v>52</v>
      </c>
      <c r="B35" s="12" t="n">
        <v>0.0102</v>
      </c>
      <c r="C35" s="9" t="s">
        <v>53</v>
      </c>
      <c r="D35" s="6" t="s">
        <v>92</v>
      </c>
      <c r="E35" s="6"/>
      <c r="F35" s="6"/>
      <c r="G35" s="6" t="s">
        <v>93</v>
      </c>
      <c r="H35" s="6"/>
    </row>
    <row r="36" customFormat="false" ht="30" hidden="false" customHeight="true" outlineLevel="0" collapsed="false">
      <c r="A36" s="11" t="s">
        <v>54</v>
      </c>
      <c r="B36" s="7" t="n">
        <v>30</v>
      </c>
      <c r="C36" s="9" t="s">
        <v>55</v>
      </c>
      <c r="D36" s="6" t="s">
        <v>94</v>
      </c>
      <c r="E36" s="6"/>
      <c r="F36" s="6"/>
      <c r="G36" s="6" t="s">
        <v>95</v>
      </c>
      <c r="H36" s="6"/>
    </row>
    <row r="37" customFormat="false" ht="15" hidden="false" customHeight="true" outlineLevel="0" collapsed="false">
      <c r="A37" s="3" t="str">
        <f aca="false">IF(COUNT(B34:B36)=3,"All three caps have a number.","A cap with no number is not a cap: "&amp;(3-COUNT(B34:B36))&amp;" still open.")</f>
        <v>All three caps have a number.</v>
      </c>
    </row>
    <row r="39" customFormat="false" ht="15" hidden="false" customHeight="true" outlineLevel="0" collapsed="false">
      <c r="A39" s="10" t="s">
        <v>56</v>
      </c>
    </row>
    <row r="40" customFormat="false" ht="31.5" hidden="false" customHeight="true" outlineLevel="0" collapsed="false">
      <c r="A40" s="8" t="s">
        <v>57</v>
      </c>
      <c r="B40" s="8" t="s">
        <v>58</v>
      </c>
      <c r="C40" s="8" t="s">
        <v>59</v>
      </c>
      <c r="D40" s="8"/>
      <c r="E40" s="8"/>
      <c r="F40" s="8" t="s">
        <v>60</v>
      </c>
      <c r="G40" s="8"/>
      <c r="H40" s="8"/>
    </row>
    <row r="41" customFormat="false" ht="30.75" hidden="false" customHeight="true" outlineLevel="0" collapsed="false">
      <c r="A41" s="11" t="s">
        <v>61</v>
      </c>
      <c r="B41" s="6" t="s">
        <v>75</v>
      </c>
      <c r="C41" s="6" t="s">
        <v>96</v>
      </c>
      <c r="D41" s="6"/>
      <c r="E41" s="6"/>
      <c r="F41" s="6"/>
      <c r="G41" s="6"/>
      <c r="H41" s="6"/>
    </row>
    <row r="42" customFormat="false" ht="30" hidden="false" customHeight="true" outlineLevel="0" collapsed="false">
      <c r="A42" s="11" t="s">
        <v>62</v>
      </c>
      <c r="B42" s="6" t="s">
        <v>75</v>
      </c>
      <c r="C42" s="6" t="s">
        <v>97</v>
      </c>
      <c r="D42" s="6"/>
      <c r="E42" s="6"/>
      <c r="F42" s="6"/>
      <c r="G42" s="6"/>
      <c r="H42" s="6"/>
    </row>
    <row r="43" customFormat="false" ht="30.75" hidden="false" customHeight="true" outlineLevel="0" collapsed="false">
      <c r="A43" s="11" t="s">
        <v>63</v>
      </c>
      <c r="B43" s="6" t="s">
        <v>75</v>
      </c>
      <c r="C43" s="6" t="s">
        <v>98</v>
      </c>
      <c r="D43" s="6"/>
      <c r="E43" s="6"/>
      <c r="F43" s="6"/>
      <c r="G43" s="6"/>
      <c r="H43" s="6"/>
    </row>
    <row r="44" customFormat="false" ht="30.75" hidden="false" customHeight="true" outlineLevel="0" collapsed="false">
      <c r="A44" s="11" t="s">
        <v>64</v>
      </c>
      <c r="B44" s="6" t="s">
        <v>75</v>
      </c>
      <c r="C44" s="6" t="s">
        <v>99</v>
      </c>
      <c r="D44" s="6"/>
      <c r="E44" s="6"/>
      <c r="F44" s="6"/>
      <c r="G44" s="6"/>
      <c r="H44" s="6"/>
    </row>
    <row r="45" customFormat="false" ht="30.75" hidden="false" customHeight="true" outlineLevel="0" collapsed="false">
      <c r="A45" s="11" t="s">
        <v>65</v>
      </c>
      <c r="B45" s="6" t="s">
        <v>75</v>
      </c>
      <c r="C45" s="6" t="s">
        <v>100</v>
      </c>
      <c r="D45" s="6"/>
      <c r="E45" s="6"/>
      <c r="F45" s="6"/>
      <c r="G45" s="6"/>
      <c r="H45" s="6"/>
    </row>
    <row r="46" customFormat="false" ht="15" hidden="false" customHeight="true" outlineLevel="0" collapsed="false">
      <c r="A46" s="3" t="str">
        <f aca="false">IF(COUNTIF(B41:B45,"yes")=5,"All five can be produced.",IF(COUNTBLANK(B41:B45)&gt;0,"Answer all five.","You cannot produce "&amp;COUNTIF(B41:B45,"no")&amp;" of five. An audit trail cannot be added afterwards to writes that already happened."))</f>
        <v>All five can be produced.</v>
      </c>
    </row>
  </sheetData>
  <mergeCells count="26">
    <mergeCell ref="B4:F4"/>
    <mergeCell ref="A25:D25"/>
    <mergeCell ref="A26:D26"/>
    <mergeCell ref="A27:D27"/>
    <mergeCell ref="A28:D28"/>
    <mergeCell ref="A29:D29"/>
    <mergeCell ref="D33:F33"/>
    <mergeCell ref="G33:H33"/>
    <mergeCell ref="D34:F34"/>
    <mergeCell ref="G34:H34"/>
    <mergeCell ref="D35:F35"/>
    <mergeCell ref="G35:H35"/>
    <mergeCell ref="D36:F36"/>
    <mergeCell ref="G36:H36"/>
    <mergeCell ref="C40:E40"/>
    <mergeCell ref="F40:H40"/>
    <mergeCell ref="C41:E41"/>
    <mergeCell ref="F41:H41"/>
    <mergeCell ref="C42:E42"/>
    <mergeCell ref="F42:H42"/>
    <mergeCell ref="C43:E43"/>
    <mergeCell ref="F43:H43"/>
    <mergeCell ref="C44:E44"/>
    <mergeCell ref="F44:H44"/>
    <mergeCell ref="C45:E45"/>
    <mergeCell ref="F45:H45"/>
  </mergeCells>
  <conditionalFormatting sqref="L8:L21">
    <cfRule type="expression" priority="2" aboveAverage="0" equalAverage="0" bottom="0" percent="0" rank="0" text="" dxfId="0">
      <formula>AND(L8&lt;&gt;"",L8&lt;&gt;"ok")</formula>
    </cfRule>
    <cfRule type="expression" priority="3" aboveAverage="0" equalAverage="0" bottom="0" percent="0" rank="0" text="" dxfId="1">
      <formula>L8="ok"</formula>
    </cfRule>
  </conditionalFormatting>
  <dataValidations count="5">
    <dataValidation allowBlank="true" error="Allowed values: read, write" errorStyle="stop" errorTitle="Pick from the list" operator="between" showDropDown="false" showErrorMessage="true" showInputMessage="false" sqref="C8:C21" type="list">
      <formula1>"read,write"</formula1>
      <formula2>0</formula2>
    </dataValidation>
    <dataValidation allowBlank="true" error="Allowed values: yes, no, n/a" errorStyle="stop" errorTitle="Pick from the list" operator="between" showDropDown="false" showErrorMessage="true" showInputMessage="false" sqref="D8:D21" type="list">
      <formula1>"yes,no,n/a"</formula1>
      <formula2>0</formula2>
    </dataValidation>
    <dataValidation allowBlank="true" error="Allowed values: removed, gated, policy, approved" errorStyle="stop" errorTitle="Pick from the list" operator="between" showDropDown="false" showErrorMessage="true" showInputMessage="false" sqref="G8:G21" type="list">
      <formula1>"removed,gated,policy,approved"</formula1>
      <formula2>0</formula2>
    </dataValidation>
    <dataValidation allowBlank="true" error="Allowed values: yes, no, n/a" errorStyle="stop" errorTitle="Pick from the list" operator="between" showDropDown="false" showErrorMessage="true" showInputMessage="false" sqref="I8:K21" type="list">
      <formula1>"yes,no,n/a"</formula1>
      <formula2>0</formula2>
    </dataValidation>
    <dataValidation allowBlank="true" error="Allowed values: yes, no" errorStyle="stop" errorTitle="Pick from the list" operator="between" showDropDown="false" showErrorMessage="true" showInputMessage="false" sqref="B41:B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2026-09-30T01:11:52Z</dcterms:created>
  <dc:creator>openpyxl</dc:creator>
  <dc:description/>
  <dc:language>en-US</dc:language>
  <cp:lastModifiedBy/>
  <dcterms:modified xsi:type="dcterms:W3CDTF">2026-09-30T01:12:34Z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