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Your run" sheetId="2" state="visible" r:id="rId4"/>
    <sheet name="Reference ru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<sst xmlns="http://schemas.openxmlformats.org/spreadsheetml/2006/main" count="146" uniqueCount="88">
  <si>
    <t xml:space="preserve">Three ways to fix it: the S19 scorecard</t>
  </si>
  <si>
    <t xml:space="preserve">Advanced AI for IT | OQ | Day 4, S19 | Synthetic program material</t>
  </si>
  <si>
    <t xml:space="preserve">What it gives you</t>
  </si>
  <si>
    <t xml:space="preserve">One table that says which lever fixed which failure: tune the model, add retrieval, or both. It keeps shape, routing and knowledge as separate columns, and it prices the fix in prompt tokens.</t>
  </si>
  <si>
    <t xml:space="preserve">Time</t>
  </si>
  <si>
    <t xml:space="preserve">About 10 minutes at the end of S19, with notebook 11's scoreboard on screen.</t>
  </si>
  <si>
    <t xml:space="preserve">Step 1</t>
  </si>
  <si>
    <t xml:space="preserve">Sheet 'Your run': type the scoreboard values into the yellow cells. Set your three bars in B5 to B7.</t>
  </si>
  <si>
    <t xml:space="preserve">Step 2</t>
  </si>
  <si>
    <t xml:space="preserve">Column J says which arms pass all three bars. Columns H and I show what each arm bought and what it cost.</t>
  </si>
  <si>
    <t xml:space="preserve">Step 3</t>
  </si>
  <si>
    <t xml:space="preserve">Fill the group table. 'Best arm' and 'Retrieval lift' compute. Look for the group where the lift is negative.</t>
  </si>
  <si>
    <t xml:space="preserve">Step 4</t>
  </si>
  <si>
    <t xml:space="preserve">Answer the two rows on what has to happen when a fact changes, then write the three sentences for spec sections 2 and 6.</t>
  </si>
  <si>
    <t xml:space="preserve">Reference run</t>
  </si>
  <si>
    <t xml:space="preserve">Sheet 'Reference run' is the program's saved run of notebook 11, so you can see the level of detail. The tuned arm there is a stand-in that shares the base model's weights, so read it as the shape of the answer, not as a trained adapter.</t>
  </si>
  <si>
    <t xml:space="preserve">Not measured</t>
  </si>
  <si>
    <t xml:space="preserve">The notebook estimates that an adapter would save about 66 prompt tokens per call (15%). That is an estimate, not a measurement, and it is not in the tables.</t>
  </si>
  <si>
    <t xml:space="preserve">If a cell is blank</t>
  </si>
  <si>
    <t xml:space="preserve">The formulas stay blank instead of showing an error.</t>
  </si>
  <si>
    <t xml:space="preserve">Three ways to fix it: tune, retrieve, or both</t>
  </si>
  <si>
    <t xml:space="preserve">Day 4, S19 | Fill in the yellow cells from notebook 11's scoreboard | Synthetic program material</t>
  </si>
  <si>
    <t xml:space="preserve">Tickets in the run</t>
  </si>
  <si>
    <t xml:space="preserve">Your bar: routing right</t>
  </si>
  <si>
    <t xml:space="preserve">Bars are yours. Change them and column J re-scores.</t>
  </si>
  <si>
    <t xml:space="preserve">Your bar: knowledge right</t>
  </si>
  <si>
    <t xml:space="preserve">Your bar: schema-valid</t>
  </si>
  <si>
    <t xml:space="preserve">Calls in the run</t>
  </si>
  <si>
    <t xml:space="preserve">tickets x 4 arms</t>
  </si>
  <si>
    <t xml:space="preserve">Arm</t>
  </si>
  <si>
    <t xml:space="preserve">Schema-valid</t>
  </si>
  <si>
    <t xml:space="preserve">Routing right</t>
  </si>
  <si>
    <t xml:space="preserve">Knowledge right</t>
  </si>
  <si>
    <t xml:space="preserve">Output handling</t>
  </si>
  <si>
    <t xml:space="preserve">Prompt tokens per call</t>
  </si>
  <si>
    <t xml:space="preserve">Seconds per call</t>
  </si>
  <si>
    <t xml:space="preserve">Knowledge vs base</t>
  </si>
  <si>
    <t xml:space="preserve">Prompt vs base (x)</t>
  </si>
  <si>
    <t xml:space="preserve">Passes all three bars?</t>
  </si>
  <si>
    <t xml:space="preserve">Base</t>
  </si>
  <si>
    <t xml:space="preserve">Tuned (stand-in)</t>
  </si>
  <si>
    <t xml:space="preserve">Base + retrieval</t>
  </si>
  <si>
    <t xml:space="preserve">Tuned + retrieval</t>
  </si>
  <si>
    <t xml:space="preserve">Read the row, not the average: an arm can pass every bar and still be the wrong one if it is the arm you cannot roll back in a day.</t>
  </si>
  <si>
    <t xml:space="preserve">Knowledge right, by question group</t>
  </si>
  <si>
    <t xml:space="preserve">Group</t>
  </si>
  <si>
    <t xml:space="preserve">Best arm</t>
  </si>
  <si>
    <t xml:space="preserve">Retrieval lift</t>
  </si>
  <si>
    <t xml:space="preserve">n</t>
  </si>
  <si>
    <t xml:space="preserve">What the group tests</t>
  </si>
  <si>
    <t xml:space="preserve">desk</t>
  </si>
  <si>
    <t xml:space="preserve">coded</t>
  </si>
  <si>
    <t xml:space="preserve">stale</t>
  </si>
  <si>
    <t xml:space="preserve">absent</t>
  </si>
  <si>
    <t xml:space="preserve">mixed</t>
  </si>
  <si>
    <t xml:space="preserve">Total tickets in the groups</t>
  </si>
  <si>
    <t xml:space="preserve">Retrieval lift = the best retrieval arm minus the best no-retrieval arm. A negative number means retrieval made that group worse.</t>
  </si>
  <si>
    <t xml:space="preserve">What has to happen when a fact changes</t>
  </si>
  <si>
    <t xml:space="preserve">Lever</t>
  </si>
  <si>
    <t xml:space="preserve">What you ship</t>
  </si>
  <si>
    <t xml:space="preserve">Who does it</t>
  </si>
  <si>
    <t xml:space="preserve">How long</t>
  </si>
  <si>
    <t xml:space="preserve">How you roll it back</t>
  </si>
  <si>
    <t xml:space="preserve">Retrain the model</t>
  </si>
  <si>
    <t xml:space="preserve">Re-index the documents</t>
  </si>
  <si>
    <t xml:space="preserve">Three sentences for spec section 2 and section 6</t>
  </si>
  <si>
    <t xml:space="preserve">1. What failed in the base run: shape, knowledge or staleness, with the number</t>
  </si>
  <si>
    <t xml:space="preserve">2. The lever you pick and the number that justifies it</t>
  </si>
  <si>
    <t xml:space="preserve">3. What that lever will not fix</t>
  </si>
  <si>
    <t xml:space="preserve">Reference run: the program's saved run of notebook 11 (12 SGP tickets, 48 calls, gpt-4.1-mini). The tuned arm is a stand-in, not a trained adapter. Synthetic program material</t>
  </si>
  <si>
    <t xml:space="preserve">12 of 12 needed fence-stripping</t>
  </si>
  <si>
    <t xml:space="preserve">0 needed salvage: structured output</t>
  </si>
  <si>
    <t xml:space="preserve">routine work no plant document covers; the right reference is NONE</t>
  </si>
  <si>
    <t xml:space="preserve">an error code whose meaning and action are in a manual</t>
  </si>
  <si>
    <t xml:space="preserve">the procedure was revised; the old value is still plausible</t>
  </si>
  <si>
    <t xml:space="preserve">sounds answerable, is not; a neighbouring fact is in the corpus</t>
  </si>
  <si>
    <t xml:space="preserve">messy text, two systems, a code from a photo, a document behind it</t>
  </si>
  <si>
    <t xml:space="preserve">A new adapter, a new eval run and a release with a sign-off</t>
  </si>
  <si>
    <t xml:space="preserve">ML owner, then the release manager</t>
  </si>
  <si>
    <t xml:space="preserve">One release cycle</t>
  </si>
  <si>
    <t xml:space="preserve">Point the endpoint back at the previous adapter</t>
  </si>
  <si>
    <t xml:space="preserve">Copy the changed files into the corpus folder and rebuild the index</t>
  </si>
  <si>
    <t xml:space="preserve">The document controller</t>
  </si>
  <si>
    <t xml:space="preserve">One rebuild</t>
  </si>
  <si>
    <t xml:space="preserve">Restore the previous index folder</t>
  </si>
  <si>
    <t xml:space="preserve">Knowledge, not shape: 0.42 right against a bar of 0.80. The base was already 1.00 schema-valid and 0.89 on routing.</t>
  </si>
  <si>
    <t xml:space="preserve">Retrieval: knowledge 0.42 to 0.86 for 2.03x the prompt (451 to 918 tokens). Tuning moved routing 0.89 to 0.94 and removed the fence-stripping, but left knowledge at 0.42.</t>
  </si>
  <si>
    <t xml:space="preserve">Retrieval made the desk group worse (1.00 to 0.83) because a retriever always returns something. Stale answers are one ticket apart between the two retrieval arms at n=2. The tuned rows are a stand-in, not a measured adapter.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</si>
</sst>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General"/>
    <numFmt numFmtId="167" formatCode="0.0"/>
    <numFmt numFmtId="168" formatCode="\+0.00;\-0.00;0.00"/>
    <numFmt numFmtId="169" formatCode="0.00\x"/>
    <numFmt numFmtId="170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1C6B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C1C6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C1C6B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9EAD3"/>
        </patternFill>
      </fill>
    </dxf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C1C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1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0.75" hidden="false" customHeight="true" outlineLevel="0" collapsed="false">
      <c r="A4" s="4" t="s">
        <v>2</v>
      </c>
      <c r="B4" s="5" t="s">
        <v>3</v>
      </c>
    </row>
    <row r="5" customFormat="false" ht="17.25" hidden="false" customHeight="true" outlineLevel="0" collapsed="false">
      <c r="A5" s="4" t="s">
        <v>4</v>
      </c>
      <c r="B5" s="5" t="s">
        <v>5</v>
      </c>
    </row>
    <row r="6" customFormat="false" ht="17.25" hidden="false" customHeight="true" outlineLevel="0" collapsed="false">
      <c r="A6" s="4" t="s">
        <v>6</v>
      </c>
      <c r="B6" s="5" t="s">
        <v>7</v>
      </c>
    </row>
    <row r="7" customFormat="false" ht="17.25" hidden="false" customHeight="true" outlineLevel="0" collapsed="false">
      <c r="A7" s="4" t="s">
        <v>8</v>
      </c>
      <c r="B7" s="5" t="s">
        <v>9</v>
      </c>
    </row>
    <row r="8" customFormat="false" ht="17.25" hidden="false" customHeight="true" outlineLevel="0" collapsed="false">
      <c r="A8" s="4" t="s">
        <v>10</v>
      </c>
      <c r="B8" s="5" t="s">
        <v>11</v>
      </c>
    </row>
    <row r="9" customFormat="false" ht="30.75" hidden="false" customHeight="true" outlineLevel="0" collapsed="false">
      <c r="A9" s="4" t="s">
        <v>12</v>
      </c>
      <c r="B9" s="5" t="s">
        <v>13</v>
      </c>
    </row>
    <row r="10" customFormat="false" ht="43.5" hidden="false" customHeight="true" outlineLevel="0" collapsed="false">
      <c r="A10" s="4" t="s">
        <v>14</v>
      </c>
      <c r="B10" s="5" t="s">
        <v>15</v>
      </c>
    </row>
    <row r="11" customFormat="false" ht="30.75" hidden="false" customHeight="true" outlineLevel="0" collapsed="false">
      <c r="A11" s="4" t="s">
        <v>16</v>
      </c>
      <c r="B11" s="5" t="s">
        <v>17</v>
      </c>
    </row>
    <row r="12" customFormat="false" ht="17.25" hidden="false" customHeight="true" outlineLevel="0" collapsed="false">
      <c r="A12" s="4" t="s">
        <v>18</v>
      </c>
      <c r="B12" s="5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3"/>
    <col collapsed="false" customWidth="true" hidden="false" outlineLevel="0" max="4" min="4" style="1" width="15"/>
    <col collapsed="false" customWidth="true" hidden="false" outlineLevel="0" max="5" min="5" style="1" width="30"/>
    <col collapsed="false" customWidth="true" hidden="false" outlineLevel="0" max="6" min="6" style="1" width="15"/>
    <col collapsed="false" customWidth="true" hidden="false" outlineLevel="0" max="7" min="7" style="1" width="12"/>
    <col collapsed="false" customWidth="true" hidden="false" outlineLevel="0" max="9" min="8" style="1" width="13"/>
    <col collapsed="false" customWidth="true" hidden="false" outlineLevel="0" max="10" min="10" style="1" width="14"/>
  </cols>
  <sheetData>
    <row r="1" customFormat="false" ht="19.5" hidden="false" customHeight="true" outlineLevel="0" collapsed="false">
      <c r="A1" s="2" t="s">
        <v>20</v>
      </c>
    </row>
    <row r="2" customFormat="false" ht="15" hidden="false" customHeight="true" outlineLevel="0" collapsed="false">
      <c r="A2" s="3" t="s">
        <v>21</v>
      </c>
    </row>
    <row r="4" customFormat="false" ht="17.25" hidden="false" customHeight="true" outlineLevel="0" collapsed="false">
      <c r="A4" s="4" t="s">
        <v>22</v>
      </c>
      <c r="B4" s="6" t="n">
        <v>12</v>
      </c>
    </row>
    <row r="5" customFormat="false" ht="17.25" hidden="false" customHeight="true" outlineLevel="0" collapsed="false">
      <c r="A5" s="4" t="s">
        <v>23</v>
      </c>
      <c r="B5" s="7" t="n">
        <v>0.9</v>
      </c>
      <c r="C5" s="3" t="s">
        <v>24</v>
      </c>
    </row>
    <row r="6" customFormat="false" ht="17.25" hidden="false" customHeight="true" outlineLevel="0" collapsed="false">
      <c r="A6" s="4" t="s">
        <v>25</v>
      </c>
      <c r="B6" s="7" t="n">
        <v>0.8</v>
      </c>
    </row>
    <row r="7" customFormat="false" ht="17.25" hidden="false" customHeight="true" outlineLevel="0" collapsed="false">
      <c r="A7" s="4" t="s">
        <v>26</v>
      </c>
      <c r="B7" s="7" t="n">
        <v>1</v>
      </c>
    </row>
    <row r="8" customFormat="false" ht="17.25" hidden="false" customHeight="true" outlineLevel="0" collapsed="false">
      <c r="A8" s="4" t="s">
        <v>27</v>
      </c>
      <c r="B8" s="8" t="n">
        <f aca="false">B4*4</f>
        <v>48</v>
      </c>
      <c r="C8" s="3" t="s">
        <v>28</v>
      </c>
    </row>
    <row r="10" customFormat="false" ht="31.5" hidden="false" customHeight="true" outlineLevel="0" collapsed="false">
      <c r="A10" s="9" t="s">
        <v>29</v>
      </c>
      <c r="B10" s="9" t="s">
        <v>30</v>
      </c>
      <c r="C10" s="9" t="s">
        <v>31</v>
      </c>
      <c r="D10" s="9" t="s">
        <v>32</v>
      </c>
      <c r="E10" s="9" t="s">
        <v>33</v>
      </c>
      <c r="F10" s="9" t="s">
        <v>34</v>
      </c>
      <c r="G10" s="9" t="s">
        <v>35</v>
      </c>
      <c r="H10" s="9" t="s">
        <v>36</v>
      </c>
      <c r="I10" s="9" t="s">
        <v>37</v>
      </c>
      <c r="J10" s="9" t="s">
        <v>38</v>
      </c>
    </row>
    <row r="11" customFormat="false" ht="17.25" hidden="false" customHeight="true" outlineLevel="0" collapsed="false">
      <c r="A11" s="10" t="s">
        <v>39</v>
      </c>
      <c r="B11" s="7"/>
      <c r="C11" s="7"/>
      <c r="D11" s="7"/>
      <c r="E11" s="6"/>
      <c r="F11" s="11"/>
      <c r="G11" s="11"/>
      <c r="H11" s="12" t="str">
        <f aca="false">IF(D11="","",D11-$D$11)</f>
        <v/>
      </c>
      <c r="I11" s="13" t="str">
        <f aca="false">IF(OR(F11="",$F$11=""),"",F11/$F$11)</f>
        <v/>
      </c>
      <c r="J11" s="8" t="str">
        <f aca="false">IF(OR(B11="",C11="",D11=""),"",IF(AND(B11&gt;=$B$7,C11&gt;=$B$5,D11&gt;=$B$6),"yes","no"))</f>
        <v/>
      </c>
    </row>
    <row r="12" customFormat="false" ht="17.25" hidden="false" customHeight="true" outlineLevel="0" collapsed="false">
      <c r="A12" s="10" t="s">
        <v>40</v>
      </c>
      <c r="B12" s="7"/>
      <c r="C12" s="7"/>
      <c r="D12" s="7"/>
      <c r="E12" s="6"/>
      <c r="F12" s="11"/>
      <c r="G12" s="11"/>
      <c r="H12" s="12" t="str">
        <f aca="false">IF(D12="","",D12-$D$11)</f>
        <v/>
      </c>
      <c r="I12" s="13" t="str">
        <f aca="false">IF(OR(F12="",$F$11=""),"",F12/$F$11)</f>
        <v/>
      </c>
      <c r="J12" s="8" t="str">
        <f aca="false">IF(OR(B12="",C12="",D12=""),"",IF(AND(B12&gt;=$B$7,C12&gt;=$B$5,D12&gt;=$B$6),"yes","no"))</f>
        <v/>
      </c>
    </row>
    <row r="13" customFormat="false" ht="17.25" hidden="false" customHeight="true" outlineLevel="0" collapsed="false">
      <c r="A13" s="10" t="s">
        <v>41</v>
      </c>
      <c r="B13" s="7"/>
      <c r="C13" s="7"/>
      <c r="D13" s="7"/>
      <c r="E13" s="6"/>
      <c r="F13" s="11"/>
      <c r="G13" s="11"/>
      <c r="H13" s="12" t="str">
        <f aca="false">IF(D13="","",D13-$D$11)</f>
        <v/>
      </c>
      <c r="I13" s="13" t="str">
        <f aca="false">IF(OR(F13="",$F$11=""),"",F13/$F$11)</f>
        <v/>
      </c>
      <c r="J13" s="8" t="str">
        <f aca="false">IF(OR(B13="",C13="",D13=""),"",IF(AND(B13&gt;=$B$7,C13&gt;=$B$5,D13&gt;=$B$6),"yes","no"))</f>
        <v/>
      </c>
    </row>
    <row r="14" customFormat="false" ht="17.25" hidden="false" customHeight="true" outlineLevel="0" collapsed="false">
      <c r="A14" s="10" t="s">
        <v>42</v>
      </c>
      <c r="B14" s="7"/>
      <c r="C14" s="7"/>
      <c r="D14" s="7"/>
      <c r="E14" s="6"/>
      <c r="F14" s="11"/>
      <c r="G14" s="11"/>
      <c r="H14" s="12" t="str">
        <f aca="false">IF(D14="","",D14-$D$11)</f>
        <v/>
      </c>
      <c r="I14" s="13" t="str">
        <f aca="false">IF(OR(F14="",$F$11=""),"",F14/$F$11)</f>
        <v/>
      </c>
      <c r="J14" s="8" t="str">
        <f aca="false">IF(OR(B14="",C14="",D14=""),"",IF(AND(B14&gt;=$B$7,C14&gt;=$B$5,D14&gt;=$B$6),"yes","no"))</f>
        <v/>
      </c>
    </row>
    <row r="15" customFormat="false" ht="15" hidden="false" customHeight="true" outlineLevel="0" collapsed="false">
      <c r="A15" s="3" t="s">
        <v>43</v>
      </c>
    </row>
    <row r="17" customFormat="false" ht="15" hidden="false" customHeight="true" outlineLevel="0" collapsed="false">
      <c r="A17" s="14" t="s">
        <v>44</v>
      </c>
    </row>
    <row r="18" customFormat="false" ht="31.5" hidden="false" customHeight="true" outlineLevel="0" collapsed="false">
      <c r="A18" s="9" t="s">
        <v>45</v>
      </c>
      <c r="B18" s="9" t="s">
        <v>39</v>
      </c>
      <c r="C18" s="9" t="s">
        <v>40</v>
      </c>
      <c r="D18" s="9" t="s">
        <v>41</v>
      </c>
      <c r="E18" s="9" t="s">
        <v>42</v>
      </c>
      <c r="F18" s="9" t="s">
        <v>46</v>
      </c>
      <c r="G18" s="9" t="s">
        <v>47</v>
      </c>
      <c r="H18" s="9" t="s">
        <v>48</v>
      </c>
      <c r="I18" s="9" t="s">
        <v>49</v>
      </c>
      <c r="J18" s="9"/>
    </row>
    <row r="19" customFormat="false" ht="27.75" hidden="false" customHeight="true" outlineLevel="0" collapsed="false">
      <c r="A19" s="10" t="s">
        <v>50</v>
      </c>
      <c r="B19" s="7"/>
      <c r="C19" s="7"/>
      <c r="D19" s="7"/>
      <c r="E19" s="7"/>
      <c r="F19" s="8" t="str">
        <f aca="false">IF(COUNT(B19:E19)&lt;4,"",IF(MAX(B19:E19)=MIN(B19:E19),"no difference",INDEX($B$18:$E$18,MATCH(MAX(B19:E19),B19:E19,0))))</f>
        <v/>
      </c>
      <c r="G19" s="12" t="str">
        <f aca="false">IF(COUNT(B19:E19)&lt;4,"",MAX(D19:E19)-MAX(B19:C19))</f>
        <v/>
      </c>
      <c r="H19" s="15"/>
      <c r="I19" s="6"/>
      <c r="J19" s="6"/>
    </row>
    <row r="20" customFormat="false" ht="27.75" hidden="false" customHeight="true" outlineLevel="0" collapsed="false">
      <c r="A20" s="10" t="s">
        <v>51</v>
      </c>
      <c r="B20" s="7"/>
      <c r="C20" s="7"/>
      <c r="D20" s="7"/>
      <c r="E20" s="7"/>
      <c r="F20" s="8" t="str">
        <f aca="false">IF(COUNT(B20:E20)&lt;4,"",IF(MAX(B20:E20)=MIN(B20:E20),"no difference",INDEX($B$18:$E$18,MATCH(MAX(B20:E20),B20:E20,0))))</f>
        <v/>
      </c>
      <c r="G20" s="12" t="str">
        <f aca="false">IF(COUNT(B20:E20)&lt;4,"",MAX(D20:E20)-MAX(B20:C20))</f>
        <v/>
      </c>
      <c r="H20" s="15"/>
      <c r="I20" s="6"/>
      <c r="J20" s="6"/>
    </row>
    <row r="21" customFormat="false" ht="27.75" hidden="false" customHeight="true" outlineLevel="0" collapsed="false">
      <c r="A21" s="10" t="s">
        <v>52</v>
      </c>
      <c r="B21" s="7"/>
      <c r="C21" s="7"/>
      <c r="D21" s="7"/>
      <c r="E21" s="7"/>
      <c r="F21" s="8" t="str">
        <f aca="false">IF(COUNT(B21:E21)&lt;4,"",IF(MAX(B21:E21)=MIN(B21:E21),"no difference",INDEX($B$18:$E$18,MATCH(MAX(B21:E21),B21:E21,0))))</f>
        <v/>
      </c>
      <c r="G21" s="12" t="str">
        <f aca="false">IF(COUNT(B21:E21)&lt;4,"",MAX(D21:E21)-MAX(B21:C21))</f>
        <v/>
      </c>
      <c r="H21" s="15"/>
      <c r="I21" s="6"/>
      <c r="J21" s="6"/>
    </row>
    <row r="22" customFormat="false" ht="27.75" hidden="false" customHeight="true" outlineLevel="0" collapsed="false">
      <c r="A22" s="10" t="s">
        <v>53</v>
      </c>
      <c r="B22" s="7"/>
      <c r="C22" s="7"/>
      <c r="D22" s="7"/>
      <c r="E22" s="7"/>
      <c r="F22" s="8" t="str">
        <f aca="false">IF(COUNT(B22:E22)&lt;4,"",IF(MAX(B22:E22)=MIN(B22:E22),"no difference",INDEX($B$18:$E$18,MATCH(MAX(B22:E22),B22:E22,0))))</f>
        <v/>
      </c>
      <c r="G22" s="12" t="str">
        <f aca="false">IF(COUNT(B22:E22)&lt;4,"",MAX(D22:E22)-MAX(B22:C22))</f>
        <v/>
      </c>
      <c r="H22" s="15"/>
      <c r="I22" s="6"/>
      <c r="J22" s="6"/>
    </row>
    <row r="23" customFormat="false" ht="27.75" hidden="false" customHeight="true" outlineLevel="0" collapsed="false">
      <c r="A23" s="10" t="s">
        <v>54</v>
      </c>
      <c r="B23" s="7"/>
      <c r="C23" s="7"/>
      <c r="D23" s="7"/>
      <c r="E23" s="7"/>
      <c r="F23" s="8" t="str">
        <f aca="false">IF(COUNT(B23:E23)&lt;4,"",IF(MAX(B23:E23)=MIN(B23:E23),"no difference",INDEX($B$18:$E$18,MATCH(MAX(B23:E23),B23:E23,0))))</f>
        <v/>
      </c>
      <c r="G23" s="12" t="str">
        <f aca="false">IF(COUNT(B23:E23)&lt;4,"",MAX(D23:E23)-MAX(B23:C23))</f>
        <v/>
      </c>
      <c r="H23" s="15"/>
      <c r="I23" s="6"/>
      <c r="J23" s="6"/>
    </row>
    <row r="24" customFormat="false" ht="30.75" hidden="false" customHeight="true" outlineLevel="0" collapsed="false">
      <c r="A24" s="4" t="s">
        <v>55</v>
      </c>
      <c r="B24" s="8" t="n">
        <f aca="false">SUM(H19:H23)</f>
        <v>0</v>
      </c>
      <c r="C24" s="3" t="str">
        <f aca="false">IF(B24=B4,"matches the run","does not match the tickets in the run")</f>
        <v>does not match the tickets in the run</v>
      </c>
    </row>
    <row r="25" customFormat="false" ht="15" hidden="false" customHeight="true" outlineLevel="0" collapsed="false">
      <c r="A25" s="3" t="s">
        <v>56</v>
      </c>
    </row>
    <row r="27" customFormat="false" ht="15" hidden="false" customHeight="true" outlineLevel="0" collapsed="false">
      <c r="A27" s="14" t="s">
        <v>57</v>
      </c>
    </row>
    <row r="28" customFormat="false" ht="31.5" hidden="false" customHeight="true" outlineLevel="0" collapsed="false">
      <c r="A28" s="9" t="s">
        <v>58</v>
      </c>
      <c r="B28" s="9" t="s">
        <v>59</v>
      </c>
      <c r="C28" s="9"/>
      <c r="D28" s="9"/>
      <c r="E28" s="9" t="s">
        <v>60</v>
      </c>
      <c r="F28" s="9" t="s">
        <v>61</v>
      </c>
      <c r="G28" s="9"/>
      <c r="H28" s="9" t="s">
        <v>62</v>
      </c>
      <c r="I28" s="9"/>
      <c r="J28" s="9"/>
    </row>
    <row r="29" customFormat="false" ht="30" hidden="false" customHeight="true" outlineLevel="0" collapsed="false">
      <c r="A29" s="10" t="s">
        <v>63</v>
      </c>
      <c r="B29" s="6"/>
      <c r="C29" s="6"/>
      <c r="D29" s="6"/>
      <c r="E29" s="6"/>
      <c r="F29" s="6"/>
      <c r="G29" s="6"/>
      <c r="H29" s="6"/>
      <c r="I29" s="6"/>
      <c r="J29" s="6"/>
    </row>
    <row r="30" customFormat="false" ht="30" hidden="false" customHeight="true" outlineLevel="0" collapsed="false">
      <c r="A30" s="10" t="s">
        <v>64</v>
      </c>
      <c r="B30" s="6"/>
      <c r="C30" s="6"/>
      <c r="D30" s="6"/>
      <c r="E30" s="6"/>
      <c r="F30" s="6"/>
      <c r="G30" s="6"/>
      <c r="H30" s="6"/>
      <c r="I30" s="6"/>
      <c r="J30" s="6"/>
    </row>
    <row r="32" customFormat="false" ht="15" hidden="false" customHeight="true" outlineLevel="0" collapsed="false">
      <c r="A32" s="14" t="s">
        <v>65</v>
      </c>
    </row>
    <row r="33" customFormat="false" ht="45.75" hidden="false" customHeight="true" outlineLevel="0" collapsed="false">
      <c r="A33" s="10" t="s">
        <v>66</v>
      </c>
      <c r="B33" s="6"/>
      <c r="C33" s="6"/>
      <c r="D33" s="6"/>
      <c r="E33" s="6"/>
      <c r="F33" s="6"/>
      <c r="G33" s="6"/>
      <c r="H33" s="6"/>
      <c r="I33" s="6"/>
      <c r="J33" s="6"/>
    </row>
    <row r="34" customFormat="false" ht="45.75" hidden="false" customHeight="true" outlineLevel="0" collapsed="false">
      <c r="A34" s="10" t="s">
        <v>67</v>
      </c>
      <c r="B34" s="6"/>
      <c r="C34" s="6"/>
      <c r="D34" s="6"/>
      <c r="E34" s="6"/>
      <c r="F34" s="6"/>
      <c r="G34" s="6"/>
      <c r="H34" s="6"/>
      <c r="I34" s="6"/>
      <c r="J34" s="6"/>
    </row>
    <row r="35" customFormat="false" ht="45.75" hidden="false" customHeight="true" outlineLevel="0" collapsed="false">
      <c r="A35" s="10" t="s">
        <v>68</v>
      </c>
      <c r="B35" s="6"/>
      <c r="C35" s="6"/>
      <c r="D35" s="6"/>
      <c r="E35" s="6"/>
      <c r="F35" s="6"/>
      <c r="G35" s="6"/>
      <c r="H35" s="6"/>
      <c r="I35" s="6"/>
      <c r="J35" s="6"/>
    </row>
  </sheetData>
  <mergeCells count="18">
    <mergeCell ref="I18:J18"/>
    <mergeCell ref="I19:J19"/>
    <mergeCell ref="I20:J20"/>
    <mergeCell ref="I21:J21"/>
    <mergeCell ref="I22:J22"/>
    <mergeCell ref="I23:J23"/>
    <mergeCell ref="B28:D28"/>
    <mergeCell ref="F28:G28"/>
    <mergeCell ref="H28:J28"/>
    <mergeCell ref="B29:D29"/>
    <mergeCell ref="F29:G29"/>
    <mergeCell ref="H29:J29"/>
    <mergeCell ref="B30:D30"/>
    <mergeCell ref="F30:G30"/>
    <mergeCell ref="H30:J30"/>
    <mergeCell ref="B33:J33"/>
    <mergeCell ref="B34:J34"/>
    <mergeCell ref="B35:J35"/>
  </mergeCells>
  <conditionalFormatting sqref="J11:J14">
    <cfRule type="expression" priority="2" aboveAverage="0" equalAverage="0" bottom="0" percent="0" rank="0" text="" dxfId="0">
      <formula>J11="yes"</formula>
    </cfRule>
    <cfRule type="expression" priority="3" aboveAverage="0" equalAverage="0" bottom="0" percent="0" rank="0" text="" dxfId="1">
      <formula>J11="no"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3"/>
    <col collapsed="false" customWidth="true" hidden="false" outlineLevel="0" max="4" min="4" style="1" width="15"/>
    <col collapsed="false" customWidth="true" hidden="false" outlineLevel="0" max="5" min="5" style="1" width="30"/>
    <col collapsed="false" customWidth="true" hidden="false" outlineLevel="0" max="6" min="6" style="1" width="15"/>
    <col collapsed="false" customWidth="true" hidden="false" outlineLevel="0" max="7" min="7" style="1" width="12"/>
    <col collapsed="false" customWidth="true" hidden="false" outlineLevel="0" max="9" min="8" style="1" width="13"/>
    <col collapsed="false" customWidth="true" hidden="false" outlineLevel="0" max="10" min="10" style="1" width="14"/>
  </cols>
  <sheetData>
    <row r="1" customFormat="false" ht="19.5" hidden="false" customHeight="true" outlineLevel="0" collapsed="false">
      <c r="A1" s="2" t="s">
        <v>20</v>
      </c>
    </row>
    <row r="2" customFormat="false" ht="15" hidden="false" customHeight="true" outlineLevel="0" collapsed="false">
      <c r="A2" s="3" t="s">
        <v>69</v>
      </c>
    </row>
    <row r="4" customFormat="false" ht="17.25" hidden="false" customHeight="true" outlineLevel="0" collapsed="false">
      <c r="A4" s="4" t="s">
        <v>22</v>
      </c>
      <c r="B4" s="6" t="n">
        <v>12</v>
      </c>
    </row>
    <row r="5" customFormat="false" ht="17.25" hidden="false" customHeight="true" outlineLevel="0" collapsed="false">
      <c r="A5" s="4" t="s">
        <v>23</v>
      </c>
      <c r="B5" s="7" t="n">
        <v>0.9</v>
      </c>
      <c r="C5" s="3" t="s">
        <v>24</v>
      </c>
    </row>
    <row r="6" customFormat="false" ht="17.25" hidden="false" customHeight="true" outlineLevel="0" collapsed="false">
      <c r="A6" s="4" t="s">
        <v>25</v>
      </c>
      <c r="B6" s="7" t="n">
        <v>0.8</v>
      </c>
    </row>
    <row r="7" customFormat="false" ht="17.25" hidden="false" customHeight="true" outlineLevel="0" collapsed="false">
      <c r="A7" s="4" t="s">
        <v>26</v>
      </c>
      <c r="B7" s="7" t="n">
        <v>1</v>
      </c>
    </row>
    <row r="8" customFormat="false" ht="17.25" hidden="false" customHeight="true" outlineLevel="0" collapsed="false">
      <c r="A8" s="4" t="s">
        <v>27</v>
      </c>
      <c r="B8" s="8" t="n">
        <f aca="false">B4*4</f>
        <v>48</v>
      </c>
      <c r="C8" s="3" t="s">
        <v>28</v>
      </c>
    </row>
    <row r="10" customFormat="false" ht="31.5" hidden="false" customHeight="true" outlineLevel="0" collapsed="false">
      <c r="A10" s="9" t="s">
        <v>29</v>
      </c>
      <c r="B10" s="9" t="s">
        <v>30</v>
      </c>
      <c r="C10" s="9" t="s">
        <v>31</v>
      </c>
      <c r="D10" s="9" t="s">
        <v>32</v>
      </c>
      <c r="E10" s="9" t="s">
        <v>33</v>
      </c>
      <c r="F10" s="9" t="s">
        <v>34</v>
      </c>
      <c r="G10" s="9" t="s">
        <v>35</v>
      </c>
      <c r="H10" s="9" t="s">
        <v>36</v>
      </c>
      <c r="I10" s="9" t="s">
        <v>37</v>
      </c>
      <c r="J10" s="9" t="s">
        <v>38</v>
      </c>
    </row>
    <row r="11" customFormat="false" ht="30.75" hidden="false" customHeight="true" outlineLevel="0" collapsed="false">
      <c r="A11" s="10" t="s">
        <v>39</v>
      </c>
      <c r="B11" s="7" t="n">
        <v>1</v>
      </c>
      <c r="C11" s="7" t="n">
        <v>0.89</v>
      </c>
      <c r="D11" s="7" t="n">
        <v>0.42</v>
      </c>
      <c r="E11" s="6" t="s">
        <v>70</v>
      </c>
      <c r="F11" s="11" t="n">
        <v>451.2</v>
      </c>
      <c r="G11" s="11" t="n">
        <v>2.8</v>
      </c>
      <c r="H11" s="12" t="n">
        <f aca="false">IF(D11="","",D11-$D$11)</f>
        <v>0</v>
      </c>
      <c r="I11" s="13" t="n">
        <f aca="false">IF(OR(F11="",$F$11=""),"",F11/$F$11)</f>
        <v>1</v>
      </c>
      <c r="J11" s="8" t="str">
        <f aca="false">IF(OR(B11="",C11="",D11=""),"",IF(AND(B11&gt;=$B$7,C11&gt;=$B$5,D11&gt;=$B$6),"yes","no"))</f>
        <v>no</v>
      </c>
    </row>
    <row r="12" customFormat="false" ht="30.75" hidden="false" customHeight="true" outlineLevel="0" collapsed="false">
      <c r="A12" s="10" t="s">
        <v>40</v>
      </c>
      <c r="B12" s="7" t="n">
        <v>1</v>
      </c>
      <c r="C12" s="7" t="n">
        <v>0.94</v>
      </c>
      <c r="D12" s="7" t="n">
        <v>0.42</v>
      </c>
      <c r="E12" s="6" t="s">
        <v>71</v>
      </c>
      <c r="F12" s="11" t="n">
        <v>451.2</v>
      </c>
      <c r="G12" s="11" t="n">
        <v>1.9</v>
      </c>
      <c r="H12" s="12" t="n">
        <f aca="false">IF(D12="","",D12-$D$11)</f>
        <v>0</v>
      </c>
      <c r="I12" s="13" t="n">
        <f aca="false">IF(OR(F12="",$F$11=""),"",F12/$F$11)</f>
        <v>1</v>
      </c>
      <c r="J12" s="8" t="str">
        <f aca="false">IF(OR(B12="",C12="",D12=""),"",IF(AND(B12&gt;=$B$7,C12&gt;=$B$5,D12&gt;=$B$6),"yes","no"))</f>
        <v>no</v>
      </c>
    </row>
    <row r="13" customFormat="false" ht="30.75" hidden="false" customHeight="true" outlineLevel="0" collapsed="false">
      <c r="A13" s="10" t="s">
        <v>41</v>
      </c>
      <c r="B13" s="7" t="n">
        <v>1</v>
      </c>
      <c r="C13" s="7" t="n">
        <v>1</v>
      </c>
      <c r="D13" s="7" t="n">
        <v>0.86</v>
      </c>
      <c r="E13" s="6" t="s">
        <v>70</v>
      </c>
      <c r="F13" s="11" t="n">
        <v>917.7</v>
      </c>
      <c r="G13" s="11" t="n">
        <v>2.2</v>
      </c>
      <c r="H13" s="12" t="n">
        <f aca="false">IF(D13="","",D13-$D$11)</f>
        <v>0.44</v>
      </c>
      <c r="I13" s="13" t="n">
        <f aca="false">IF(OR(F13="",$F$11=""),"",F13/$F$11)</f>
        <v>2.03390957446809</v>
      </c>
      <c r="J13" s="8" t="str">
        <f aca="false">IF(OR(B13="",C13="",D13=""),"",IF(AND(B13&gt;=$B$7,C13&gt;=$B$5,D13&gt;=$B$6),"yes","no"))</f>
        <v>yes</v>
      </c>
    </row>
    <row r="14" customFormat="false" ht="30.75" hidden="false" customHeight="true" outlineLevel="0" collapsed="false">
      <c r="A14" s="10" t="s">
        <v>42</v>
      </c>
      <c r="B14" s="7" t="n">
        <v>1</v>
      </c>
      <c r="C14" s="7" t="n">
        <v>1</v>
      </c>
      <c r="D14" s="7" t="n">
        <v>0.86</v>
      </c>
      <c r="E14" s="6" t="s">
        <v>71</v>
      </c>
      <c r="F14" s="11" t="n">
        <v>917.7</v>
      </c>
      <c r="G14" s="11" t="n">
        <v>1.9</v>
      </c>
      <c r="H14" s="12" t="n">
        <f aca="false">IF(D14="","",D14-$D$11)</f>
        <v>0.44</v>
      </c>
      <c r="I14" s="13" t="n">
        <f aca="false">IF(OR(F14="",$F$11=""),"",F14/$F$11)</f>
        <v>2.03390957446809</v>
      </c>
      <c r="J14" s="8" t="str">
        <f aca="false">IF(OR(B14="",C14="",D14=""),"",IF(AND(B14&gt;=$B$7,C14&gt;=$B$5,D14&gt;=$B$6),"yes","no"))</f>
        <v>yes</v>
      </c>
    </row>
    <row r="15" customFormat="false" ht="15" hidden="false" customHeight="true" outlineLevel="0" collapsed="false">
      <c r="A15" s="3" t="s">
        <v>43</v>
      </c>
    </row>
    <row r="17" customFormat="false" ht="15" hidden="false" customHeight="true" outlineLevel="0" collapsed="false">
      <c r="A17" s="14" t="s">
        <v>44</v>
      </c>
    </row>
    <row r="18" customFormat="false" ht="31.5" hidden="false" customHeight="true" outlineLevel="0" collapsed="false">
      <c r="A18" s="9" t="s">
        <v>45</v>
      </c>
      <c r="B18" s="9" t="s">
        <v>39</v>
      </c>
      <c r="C18" s="9" t="s">
        <v>40</v>
      </c>
      <c r="D18" s="9" t="s">
        <v>41</v>
      </c>
      <c r="E18" s="9" t="s">
        <v>42</v>
      </c>
      <c r="F18" s="9" t="s">
        <v>46</v>
      </c>
      <c r="G18" s="9" t="s">
        <v>47</v>
      </c>
      <c r="H18" s="9" t="s">
        <v>48</v>
      </c>
      <c r="I18" s="9" t="s">
        <v>49</v>
      </c>
      <c r="J18" s="9"/>
    </row>
    <row r="19" customFormat="false" ht="43.5" hidden="false" customHeight="true" outlineLevel="0" collapsed="false">
      <c r="A19" s="10" t="s">
        <v>50</v>
      </c>
      <c r="B19" s="7" t="n">
        <v>1</v>
      </c>
      <c r="C19" s="7" t="n">
        <v>1</v>
      </c>
      <c r="D19" s="7" t="n">
        <v>0.83</v>
      </c>
      <c r="E19" s="7" t="n">
        <v>0.83</v>
      </c>
      <c r="F19" s="8" t="str">
        <f aca="false">IF(COUNT(B19:E19)&lt;4,"",IF(MAX(B19:E19)=MIN(B19:E19),"no difference",INDEX($B$18:$E$18,MATCH(MAX(B19:E19),B19:E19,0))))</f>
        <v>Base</v>
      </c>
      <c r="G19" s="12" t="n">
        <f aca="false">IF(COUNT(B19:E19)&lt;4,"",MAX(D19:E19)-MAX(B19:C19))</f>
        <v>-0.17</v>
      </c>
      <c r="H19" s="15" t="n">
        <v>2</v>
      </c>
      <c r="I19" s="6" t="s">
        <v>72</v>
      </c>
      <c r="J19" s="6"/>
    </row>
    <row r="20" customFormat="false" ht="30.75" hidden="false" customHeight="true" outlineLevel="0" collapsed="false">
      <c r="A20" s="10" t="s">
        <v>51</v>
      </c>
      <c r="B20" s="7" t="n">
        <v>0.11</v>
      </c>
      <c r="C20" s="7" t="n">
        <v>0.11</v>
      </c>
      <c r="D20" s="7" t="n">
        <v>1</v>
      </c>
      <c r="E20" s="7" t="n">
        <v>1</v>
      </c>
      <c r="F20" s="8" t="str">
        <f aca="false">IF(COUNT(B20:E20)&lt;4,"",IF(MAX(B20:E20)=MIN(B20:E20),"no difference",INDEX($B$18:$E$18,MATCH(MAX(B20:E20),B20:E20,0))))</f>
        <v>Base + retrieval</v>
      </c>
      <c r="G20" s="12" t="n">
        <f aca="false">IF(COUNT(B20:E20)&lt;4,"",MAX(D20:E20)-MAX(B20:C20))</f>
        <v>0.89</v>
      </c>
      <c r="H20" s="15" t="n">
        <v>3</v>
      </c>
      <c r="I20" s="6" t="s">
        <v>73</v>
      </c>
      <c r="J20" s="6"/>
    </row>
    <row r="21" customFormat="false" ht="43.5" hidden="false" customHeight="true" outlineLevel="0" collapsed="false">
      <c r="A21" s="10" t="s">
        <v>52</v>
      </c>
      <c r="B21" s="7" t="n">
        <v>0.33</v>
      </c>
      <c r="C21" s="7" t="n">
        <v>0.33</v>
      </c>
      <c r="D21" s="7" t="n">
        <v>1</v>
      </c>
      <c r="E21" s="7" t="n">
        <v>0.83</v>
      </c>
      <c r="F21" s="8" t="str">
        <f aca="false">IF(COUNT(B21:E21)&lt;4,"",IF(MAX(B21:E21)=MIN(B21:E21),"no difference",INDEX($B$18:$E$18,MATCH(MAX(B21:E21),B21:E21,0))))</f>
        <v>Base + retrieval</v>
      </c>
      <c r="G21" s="12" t="n">
        <f aca="false">IF(COUNT(B21:E21)&lt;4,"",MAX(D21:E21)-MAX(B21:C21))</f>
        <v>0.67</v>
      </c>
      <c r="H21" s="15" t="n">
        <v>2</v>
      </c>
      <c r="I21" s="6" t="s">
        <v>74</v>
      </c>
      <c r="J21" s="6"/>
    </row>
    <row r="22" customFormat="false" ht="43.5" hidden="false" customHeight="true" outlineLevel="0" collapsed="false">
      <c r="A22" s="10" t="s">
        <v>53</v>
      </c>
      <c r="B22" s="7" t="n">
        <v>0.67</v>
      </c>
      <c r="C22" s="7" t="n">
        <v>0.67</v>
      </c>
      <c r="D22" s="7" t="n">
        <v>0.67</v>
      </c>
      <c r="E22" s="7" t="n">
        <v>0.67</v>
      </c>
      <c r="F22" s="8" t="str">
        <f aca="false">IF(COUNT(B22:E22)&lt;4,"",IF(MAX(B22:E22)=MIN(B22:E22),"no difference",INDEX($B$18:$E$18,MATCH(MAX(B22:E22),B22:E22,0))))</f>
        <v>no difference</v>
      </c>
      <c r="G22" s="12" t="n">
        <f aca="false">IF(COUNT(B22:E22)&lt;4,"",MAX(D22:E22)-MAX(B22:C22))</f>
        <v>0</v>
      </c>
      <c r="H22" s="15" t="n">
        <v>2</v>
      </c>
      <c r="I22" s="6" t="s">
        <v>75</v>
      </c>
      <c r="J22" s="6"/>
    </row>
    <row r="23" customFormat="false" ht="43.5" hidden="false" customHeight="true" outlineLevel="0" collapsed="false">
      <c r="A23" s="10" t="s">
        <v>54</v>
      </c>
      <c r="B23" s="7" t="n">
        <v>0.22</v>
      </c>
      <c r="C23" s="7" t="n">
        <v>0.22</v>
      </c>
      <c r="D23" s="7" t="n">
        <v>0.78</v>
      </c>
      <c r="E23" s="7" t="n">
        <v>0.89</v>
      </c>
      <c r="F23" s="8" t="str">
        <f aca="false">IF(COUNT(B23:E23)&lt;4,"",IF(MAX(B23:E23)=MIN(B23:E23),"no difference",INDEX($B$18:$E$18,MATCH(MAX(B23:E23),B23:E23,0))))</f>
        <v>Tuned + retrieval</v>
      </c>
      <c r="G23" s="12" t="n">
        <f aca="false">IF(COUNT(B23:E23)&lt;4,"",MAX(D23:E23)-MAX(B23:C23))</f>
        <v>0.67</v>
      </c>
      <c r="H23" s="15" t="n">
        <v>3</v>
      </c>
      <c r="I23" s="6" t="s">
        <v>76</v>
      </c>
      <c r="J23" s="6"/>
    </row>
    <row r="24" customFormat="false" ht="30.75" hidden="false" customHeight="true" outlineLevel="0" collapsed="false">
      <c r="A24" s="4" t="s">
        <v>55</v>
      </c>
      <c r="B24" s="8" t="n">
        <f aca="false">SUM(H19:H23)</f>
        <v>12</v>
      </c>
      <c r="C24" s="3" t="str">
        <f aca="false">IF(B24=B4,"matches the run","does not match the tickets in the run")</f>
        <v>matches the run</v>
      </c>
    </row>
    <row r="25" customFormat="false" ht="15" hidden="false" customHeight="true" outlineLevel="0" collapsed="false">
      <c r="A25" s="3" t="s">
        <v>56</v>
      </c>
    </row>
    <row r="27" customFormat="false" ht="15" hidden="false" customHeight="true" outlineLevel="0" collapsed="false">
      <c r="A27" s="14" t="s">
        <v>57</v>
      </c>
    </row>
    <row r="28" customFormat="false" ht="31.5" hidden="false" customHeight="true" outlineLevel="0" collapsed="false">
      <c r="A28" s="9" t="s">
        <v>58</v>
      </c>
      <c r="B28" s="9" t="s">
        <v>59</v>
      </c>
      <c r="C28" s="9"/>
      <c r="D28" s="9"/>
      <c r="E28" s="9" t="s">
        <v>60</v>
      </c>
      <c r="F28" s="9" t="s">
        <v>61</v>
      </c>
      <c r="G28" s="9"/>
      <c r="H28" s="9" t="s">
        <v>62</v>
      </c>
      <c r="I28" s="9"/>
      <c r="J28" s="9"/>
    </row>
    <row r="29" customFormat="false" ht="30.75" hidden="false" customHeight="true" outlineLevel="0" collapsed="false">
      <c r="A29" s="10" t="s">
        <v>63</v>
      </c>
      <c r="B29" s="6" t="s">
        <v>77</v>
      </c>
      <c r="C29" s="6"/>
      <c r="D29" s="6"/>
      <c r="E29" s="6" t="s">
        <v>78</v>
      </c>
      <c r="F29" s="6" t="s">
        <v>79</v>
      </c>
      <c r="G29" s="6"/>
      <c r="H29" s="6" t="s">
        <v>80</v>
      </c>
      <c r="I29" s="6"/>
      <c r="J29" s="6"/>
    </row>
    <row r="30" customFormat="false" ht="30.75" hidden="false" customHeight="true" outlineLevel="0" collapsed="false">
      <c r="A30" s="10" t="s">
        <v>64</v>
      </c>
      <c r="B30" s="6" t="s">
        <v>81</v>
      </c>
      <c r="C30" s="6"/>
      <c r="D30" s="6"/>
      <c r="E30" s="6" t="s">
        <v>82</v>
      </c>
      <c r="F30" s="6" t="s">
        <v>83</v>
      </c>
      <c r="G30" s="6"/>
      <c r="H30" s="6" t="s">
        <v>84</v>
      </c>
      <c r="I30" s="6"/>
      <c r="J30" s="6"/>
    </row>
    <row r="32" customFormat="false" ht="15" hidden="false" customHeight="true" outlineLevel="0" collapsed="false">
      <c r="A32" s="14" t="s">
        <v>65</v>
      </c>
    </row>
    <row r="33" customFormat="false" ht="45.75" hidden="false" customHeight="true" outlineLevel="0" collapsed="false">
      <c r="A33" s="10" t="s">
        <v>66</v>
      </c>
      <c r="B33" s="6" t="s">
        <v>85</v>
      </c>
      <c r="C33" s="6"/>
      <c r="D33" s="6"/>
      <c r="E33" s="6"/>
      <c r="F33" s="6"/>
      <c r="G33" s="6"/>
      <c r="H33" s="6"/>
      <c r="I33" s="6"/>
      <c r="J33" s="6"/>
    </row>
    <row r="34" customFormat="false" ht="45.75" hidden="false" customHeight="true" outlineLevel="0" collapsed="false">
      <c r="A34" s="10" t="s">
        <v>67</v>
      </c>
      <c r="B34" s="6" t="s">
        <v>86</v>
      </c>
      <c r="C34" s="6"/>
      <c r="D34" s="6"/>
      <c r="E34" s="6"/>
      <c r="F34" s="6"/>
      <c r="G34" s="6"/>
      <c r="H34" s="6"/>
      <c r="I34" s="6"/>
      <c r="J34" s="6"/>
    </row>
    <row r="35" customFormat="false" ht="45.75" hidden="false" customHeight="true" outlineLevel="0" collapsed="false">
      <c r="A35" s="10" t="s">
        <v>68</v>
      </c>
      <c r="B35" s="6" t="s">
        <v>87</v>
      </c>
      <c r="C35" s="6"/>
      <c r="D35" s="6"/>
      <c r="E35" s="6"/>
      <c r="F35" s="6"/>
      <c r="G35" s="6"/>
      <c r="H35" s="6"/>
      <c r="I35" s="6"/>
      <c r="J35" s="6"/>
    </row>
  </sheetData>
  <mergeCells count="18">
    <mergeCell ref="I18:J18"/>
    <mergeCell ref="I19:J19"/>
    <mergeCell ref="I20:J20"/>
    <mergeCell ref="I21:J21"/>
    <mergeCell ref="I22:J22"/>
    <mergeCell ref="I23:J23"/>
    <mergeCell ref="B28:D28"/>
    <mergeCell ref="F28:G28"/>
    <mergeCell ref="H28:J28"/>
    <mergeCell ref="B29:D29"/>
    <mergeCell ref="F29:G29"/>
    <mergeCell ref="H29:J29"/>
    <mergeCell ref="B30:D30"/>
    <mergeCell ref="F30:G30"/>
    <mergeCell ref="H30:J30"/>
    <mergeCell ref="B33:J33"/>
    <mergeCell ref="B34:J34"/>
    <mergeCell ref="B35:J35"/>
  </mergeCells>
  <conditionalFormatting sqref="J11:J14">
    <cfRule type="expression" priority="2" aboveAverage="0" equalAverage="0" bottom="0" percent="0" rank="0" text="" dxfId="0">
      <formula>J11="yes"</formula>
    </cfRule>
    <cfRule type="expression" priority="3" aboveAverage="0" equalAverage="0" bottom="0" percent="0" rank="0" text="" dxfId="1">
      <formula>J11="no"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2026-09-30T01:11:52Z</dcterms:created>
  <dc:creator>openpyxl</dc:creator>
  <dc:description/>
  <dc:language>en-US</dc:language>
  <cp:lastModifiedBy/>
  <dcterms:modified xsi:type="dcterms:W3CDTF">2026-09-30T01:12:34Z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