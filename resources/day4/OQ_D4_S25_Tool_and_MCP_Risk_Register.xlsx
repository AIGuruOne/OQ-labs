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 here" sheetId="1" state="visible" r:id="rId3"/>
    <sheet name="Your register" sheetId="2" state="visible" r:id="rId4"/>
    <sheet name="Reference ru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<sst xmlns="http://schemas.openxmlformats.org/spreadsheetml/2006/main" count="135" uniqueCount="80">
  <si>
    <t xml:space="preserve">Tool and MCP risk register (S25)</t>
  </si>
  <si>
    <t xml:space="preserve">Advanced AI for IT | OQ | Day 4, S25 | Synthetic program material</t>
  </si>
  <si>
    <t xml:space="preserve">What it is</t>
  </si>
  <si>
    <t xml:space="preserve">Your allowlist, with a reason on every row. One line per tool or server your session may call, and what would go wrong if the party that wrote it were the party you were defending against.</t>
  </si>
  <si>
    <t xml:space="preserve">Time</t>
  </si>
  <si>
    <t xml:space="preserve">About 10 minutes after the S25 lab. It feeds spec section 5 and the handout's allowlist table.</t>
  </si>
  <si>
    <t xml:space="preserve">Step 1</t>
  </si>
  <si>
    <t xml:space="preserve">Sheet 'Your register': list every tool or server. Include your own; they are the ones you forget to pin.</t>
  </si>
  <si>
    <t xml:space="preserve">Step 2</t>
  </si>
  <si>
    <t xml:space="preserve">Answer the yes and no columns. 'It declares read-only' is what the server says. 'We verified that' is what you checked. They are different columns on purpose.</t>
  </si>
  <si>
    <t xml:space="preserve">Step 3</t>
  </si>
  <si>
    <t xml:space="preserve">The risk score ranks where to look first. It counts a free-text argument, a way outside OQ, untrusted text reaching it, a third party, an unpinned version and an unverified read-only claim.</t>
  </si>
  <si>
    <t xml:space="preserve">Step 4</t>
  </si>
  <si>
    <t xml:space="preserve">Answer the three property questions for each session. All three yes is a channel. The fix is a split, not a better prompt.</t>
  </si>
  <si>
    <t xml:space="preserve">Step 5</t>
  </si>
  <si>
    <t xml:space="preserve">List the channels that carry untrusted text into the session. Then decide: allow, review or deny.</t>
  </si>
  <si>
    <t xml:space="preserve">Reference run</t>
  </si>
  <si>
    <t xml:space="preserve">Sheet 'Reference run' holds the three servers from S25, including sgp-owner-lookup 1.4.2: it declared itself read-only, the gate never fired, and 448 characters left in 3 calls. It is a scripted test server, not a real product.</t>
  </si>
  <si>
    <t xml:space="preserve">Bring it to</t>
  </si>
  <si>
    <t xml:space="preserve">Day 5, S27, together with the integration map.</t>
  </si>
  <si>
    <t xml:space="preserve">Tool and MCP risk register</t>
  </si>
  <si>
    <t xml:space="preserve">Day 4, S25 | One row per tool or server | Yellow cells are yours | Synthetic program material</t>
  </si>
  <si>
    <t xml:space="preserve">Tool or server</t>
  </si>
  <si>
    <t xml:space="preserve">Version pinned</t>
  </si>
  <si>
    <t xml:space="preserve">Who wrote it</t>
  </si>
  <si>
    <t xml:space="preserve">Owner at OQ</t>
  </si>
  <si>
    <t xml:space="preserve">Free-text argument?</t>
  </si>
  <si>
    <t xml:space="preserve">Reaches outside OQ?</t>
  </si>
  <si>
    <t xml:space="preserve">Untrusted text can reach it?</t>
  </si>
  <si>
    <t xml:space="preserve">It declares read-only?</t>
  </si>
  <si>
    <t xml:space="preserve">We verified that?</t>
  </si>
  <si>
    <t xml:space="preserve">Decision</t>
  </si>
  <si>
    <t xml:space="preserve">Reviewed on upgrade (date)</t>
  </si>
  <si>
    <t xml:space="preserve">Risk score</t>
  </si>
  <si>
    <t xml:space="preserve">Note</t>
  </si>
  <si>
    <t xml:space="preserve">Risk score = free-text argument (1) + reaches outside OQ (2) + untrusted text can reach it (1) + third party (1) + version not pinned (1) + declares read-only but not verified by us (1). A score of 4 or more turns red. It ranks the work; it is not a measurement.</t>
  </si>
  <si>
    <t xml:space="preserve">Decision 'allow' belongs in your own client config, with the version pinned. Read the tool descriptions again on every upgrade, the way you read a diff.</t>
  </si>
  <si>
    <t xml:space="preserve">The three properties of a channel, per session</t>
  </si>
  <si>
    <t xml:space="preserve">Question</t>
  </si>
  <si>
    <t xml:space="preserve">Answer</t>
  </si>
  <si>
    <t xml:space="preserve">Untrusted text in the session?</t>
  </si>
  <si>
    <t xml:space="preserve">Something valuable to read in the session?</t>
  </si>
  <si>
    <t xml:space="preserve">A model-chosen way to send it out?</t>
  </si>
  <si>
    <t xml:space="preserve">Where is the split, and what is on the seam?</t>
  </si>
  <si>
    <t xml:space="preserve">Channels that carry untrusted text into the session</t>
  </si>
  <si>
    <t xml:space="preserve">Channel</t>
  </si>
  <si>
    <t xml:space="preserve">Who can write to it</t>
  </si>
  <si>
    <t xml:space="preserve">Reaches the model?</t>
  </si>
  <si>
    <t xml:space="preserve">Fenced and labelled?</t>
  </si>
  <si>
    <t xml:space="preserve">Reference run: the three servers from S25. Synthetic program material</t>
  </si>
  <si>
    <t xml:space="preserve">sgp-servicedesk</t>
  </si>
  <si>
    <t xml:space="preserve">yes: mcp==2.2.0 in requirements</t>
  </si>
  <si>
    <t xml:space="preserve">us</t>
  </si>
  <si>
    <t xml:space="preserve">desk lead (in the lab: nobody)</t>
  </si>
  <si>
    <t xml:space="preserve">yes</t>
  </si>
  <si>
    <t xml:space="preserve">no</t>
  </si>
  <si>
    <t xml:space="preserve">n/a</t>
  </si>
  <si>
    <t xml:space="preserve">allow</t>
  </si>
  <si>
    <t xml:space="preserve">2026-09-30</t>
  </si>
  <si>
    <t xml:space="preserve">Writes note text. Approved per call</t>
  </si>
  <si>
    <t xml:space="preserve">sgp-documents</t>
  </si>
  <si>
    <t xml:space="preserve">yes: our own server</t>
  </si>
  <si>
    <t xml:space="preserve">HSE document controller</t>
  </si>
  <si>
    <t xml:space="preserve">Search string only. Corpus is the untrusted part</t>
  </si>
  <si>
    <t xml:space="preserve">sgp-owner-lookup 1.4.2</t>
  </si>
  <si>
    <t xml:space="preserve">third party</t>
  </si>
  <si>
    <t xml:space="preserve">nobody at OQ</t>
  </si>
  <si>
    <t xml:space="preserve">deny</t>
  </si>
  <si>
    <t xml:space="preserve">Declared itself read-only; the gate never fired; 448 characters left in 3 calls via an argument called context</t>
  </si>
  <si>
    <t xml:space="preserve">Remove sgp-owner-lookup from the build (day5: out). No prompt change. The row stays on the register with the reason.</t>
  </si>
  <si>
    <t xml:space="preserve">Ticket text</t>
  </si>
  <si>
    <t xml:space="preserve">any caller, a scanner, a vendor</t>
  </si>
  <si>
    <t xml:space="preserve">yes: spotlighted</t>
  </si>
  <si>
    <t xml:space="preserve">First defense: list the channels</t>
  </si>
  <si>
    <t xml:space="preserve">Note field on a ticket</t>
  </si>
  <si>
    <t xml:space="preserve">our loop, read later by a shift engineer</t>
  </si>
  <si>
    <t xml:space="preserve">An egress: internal you may not have ticked</t>
  </si>
  <si>
    <t xml:space="preserve">Document library</t>
  </si>
  <si>
    <t xml:space="preserve">anyone who can upload</t>
  </si>
  <si>
    <t xml:space="preserve">Most teams find more channels than they expected</t>
  </si>
</sst>
</file>

<file path=xl/styles.xml><?xml version="1.0" encoding="utf-8"?>
<styleSheet xmlns="http://schemas.openxmlformats.org/spreadsheetml/2006/main">
  <numFmts count="3">
    <numFmt numFmtId="164" formatCode="General"/>
    <numFmt numFmtId="165" formatCode="0"/>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C1C6B"/>
      <name val="Arial"/>
      <family val="0"/>
      <charset val="1"/>
    </font>
    <font>
      <sz val="10"/>
      <color rgb="FF555555"/>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
      <b val="true"/>
      <sz val="11"/>
      <color rgb="FF1C1C6B"/>
      <name val="Arial"/>
      <family val="0"/>
      <charset val="1"/>
    </font>
  </fonts>
  <fills count="4">
    <fill>
      <patternFill patternType="none"/>
    </fill>
    <fill>
      <patternFill patternType="gray125"/>
    </fill>
    <fill>
      <patternFill patternType="solid">
        <fgColor rgb="FF1C1C6B"/>
        <bgColor rgb="FF33339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D7DA"/>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8D7DA"/>
      <rgbColor rgb="FF3366FF"/>
      <rgbColor rgb="FF33CCCC"/>
      <rgbColor rgb="FF99CC00"/>
      <rgbColor rgb="FFFFCC00"/>
      <rgbColor rgb="FFFF9900"/>
      <rgbColor rgb="FFFF6600"/>
      <rgbColor rgb="FF555555"/>
      <rgbColor rgb="FF969696"/>
      <rgbColor rgb="FF1C1C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9.5" hidden="false" customHeight="true" outlineLevel="0" collapsed="false">
      <c r="A1" s="2" t="s">
        <v>0</v>
      </c>
    </row>
    <row r="2" customFormat="false" ht="15" hidden="false" customHeight="true" outlineLevel="0" collapsed="false">
      <c r="A2" s="3" t="s">
        <v>1</v>
      </c>
    </row>
    <row r="4" customFormat="false" ht="30.75" hidden="false" customHeight="true" outlineLevel="0" collapsed="false">
      <c r="A4" s="4" t="s">
        <v>2</v>
      </c>
      <c r="B4" s="5" t="s">
        <v>3</v>
      </c>
    </row>
    <row r="5" customFormat="false" ht="17.25" hidden="false" customHeight="true" outlineLevel="0" collapsed="false">
      <c r="A5" s="4" t="s">
        <v>4</v>
      </c>
      <c r="B5" s="5" t="s">
        <v>5</v>
      </c>
    </row>
    <row r="6" customFormat="false" ht="17.25" hidden="false" customHeight="true" outlineLevel="0" collapsed="false">
      <c r="A6" s="4" t="s">
        <v>6</v>
      </c>
      <c r="B6" s="5" t="s">
        <v>7</v>
      </c>
    </row>
    <row r="7" customFormat="false" ht="30.75" hidden="false" customHeight="true" outlineLevel="0" collapsed="false">
      <c r="A7" s="4" t="s">
        <v>8</v>
      </c>
      <c r="B7" s="5" t="s">
        <v>9</v>
      </c>
    </row>
    <row r="8" customFormat="false" ht="30.75" hidden="false" customHeight="true" outlineLevel="0" collapsed="false">
      <c r="A8" s="4" t="s">
        <v>10</v>
      </c>
      <c r="B8" s="5" t="s">
        <v>11</v>
      </c>
    </row>
    <row r="9" customFormat="false" ht="30.75" hidden="false" customHeight="true" outlineLevel="0" collapsed="false">
      <c r="A9" s="4" t="s">
        <v>12</v>
      </c>
      <c r="B9" s="5" t="s">
        <v>13</v>
      </c>
    </row>
    <row r="10" customFormat="false" ht="17.25" hidden="false" customHeight="true" outlineLevel="0" collapsed="false">
      <c r="A10" s="4" t="s">
        <v>14</v>
      </c>
      <c r="B10" s="5" t="s">
        <v>15</v>
      </c>
    </row>
    <row r="11" customFormat="false" ht="43.5" hidden="false" customHeight="true" outlineLevel="0" collapsed="false">
      <c r="A11" s="4" t="s">
        <v>16</v>
      </c>
      <c r="B11" s="5" t="s">
        <v>17</v>
      </c>
    </row>
    <row r="12" customFormat="false" ht="17.25" hidden="false" customHeight="true" outlineLevel="0" collapsed="false">
      <c r="A12" s="4" t="s">
        <v>18</v>
      </c>
      <c r="B12" s="5"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3" min="3" style="1" width="14"/>
    <col collapsed="false" customWidth="true" hidden="false" outlineLevel="0" max="4" min="4" style="1" width="24"/>
    <col collapsed="false" customWidth="true" hidden="false" outlineLevel="0" max="6" min="5" style="1" width="12"/>
    <col collapsed="false" customWidth="true" hidden="false" outlineLevel="0" max="9" min="7" style="1" width="13"/>
    <col collapsed="false" customWidth="true" hidden="false" outlineLevel="0" max="10" min="10" style="1" width="12"/>
    <col collapsed="false" customWidth="true" hidden="false" outlineLevel="0" max="11" min="11" style="1" width="14"/>
    <col collapsed="false" customWidth="true" hidden="false" outlineLevel="0" max="12" min="12" style="1" width="11"/>
    <col collapsed="false" customWidth="true" hidden="false" outlineLevel="0" max="13" min="13" style="1" width="52"/>
  </cols>
  <sheetData>
    <row r="1" customFormat="false" ht="19.5" hidden="false" customHeight="true" outlineLevel="0" collapsed="false">
      <c r="A1" s="2" t="s">
        <v>20</v>
      </c>
    </row>
    <row r="2" customFormat="false" ht="15" hidden="false" customHeight="true" outlineLevel="0" collapsed="false">
      <c r="A2" s="3" t="s">
        <v>21</v>
      </c>
    </row>
    <row r="4" customFormat="false" ht="57.75" hidden="false" customHeight="true" outlineLevel="0" collapsed="false">
      <c r="A4" s="6" t="s">
        <v>22</v>
      </c>
      <c r="B4" s="6" t="s">
        <v>23</v>
      </c>
      <c r="C4" s="6" t="s">
        <v>24</v>
      </c>
      <c r="D4" s="6" t="s">
        <v>25</v>
      </c>
      <c r="E4" s="6" t="s">
        <v>26</v>
      </c>
      <c r="F4" s="6" t="s">
        <v>27</v>
      </c>
      <c r="G4" s="6" t="s">
        <v>28</v>
      </c>
      <c r="H4" s="6" t="s">
        <v>29</v>
      </c>
      <c r="I4" s="6" t="s">
        <v>30</v>
      </c>
      <c r="J4" s="6" t="s">
        <v>31</v>
      </c>
      <c r="K4" s="6" t="s">
        <v>32</v>
      </c>
      <c r="L4" s="6" t="s">
        <v>33</v>
      </c>
      <c r="M4" s="6" t="s">
        <v>34</v>
      </c>
    </row>
    <row r="5" customFormat="false" ht="39.75" hidden="false" customHeight="true" outlineLevel="0" collapsed="false">
      <c r="A5" s="7"/>
      <c r="B5" s="7"/>
      <c r="C5" s="7"/>
      <c r="D5" s="7"/>
      <c r="E5" s="7"/>
      <c r="F5" s="7"/>
      <c r="G5" s="7"/>
      <c r="H5" s="7"/>
      <c r="I5" s="7"/>
      <c r="J5" s="7"/>
      <c r="K5" s="7"/>
      <c r="L5" s="8" t="str">
        <f aca="false">IF(A5="","",(E5="yes")+(F5="yes")*2+(G5="yes")+(C5="third party")+(LEFT(B5,2)="no")+AND(H5="yes",I5&lt;&gt;"yes"))</f>
        <v/>
      </c>
      <c r="M5" s="7"/>
    </row>
    <row r="6" customFormat="false" ht="39.75" hidden="false" customHeight="true" outlineLevel="0" collapsed="false">
      <c r="A6" s="7"/>
      <c r="B6" s="7"/>
      <c r="C6" s="7"/>
      <c r="D6" s="7"/>
      <c r="E6" s="7"/>
      <c r="F6" s="7"/>
      <c r="G6" s="7"/>
      <c r="H6" s="7"/>
      <c r="I6" s="7"/>
      <c r="J6" s="7"/>
      <c r="K6" s="7"/>
      <c r="L6" s="8" t="str">
        <f aca="false">IF(A6="","",(E6="yes")+(F6="yes")*2+(G6="yes")+(C6="third party")+(LEFT(B6,2)="no")+AND(H6="yes",I6&lt;&gt;"yes"))</f>
        <v/>
      </c>
      <c r="M6" s="7"/>
    </row>
    <row r="7" customFormat="false" ht="39.75" hidden="false" customHeight="true" outlineLevel="0" collapsed="false">
      <c r="A7" s="7"/>
      <c r="B7" s="7"/>
      <c r="C7" s="7"/>
      <c r="D7" s="7"/>
      <c r="E7" s="7"/>
      <c r="F7" s="7"/>
      <c r="G7" s="7"/>
      <c r="H7" s="7"/>
      <c r="I7" s="7"/>
      <c r="J7" s="7"/>
      <c r="K7" s="7"/>
      <c r="L7" s="8" t="str">
        <f aca="false">IF(A7="","",(E7="yes")+(F7="yes")*2+(G7="yes")+(C7="third party")+(LEFT(B7,2)="no")+AND(H7="yes",I7&lt;&gt;"yes"))</f>
        <v/>
      </c>
      <c r="M7" s="7"/>
    </row>
    <row r="8" customFormat="false" ht="39.75" hidden="false" customHeight="true" outlineLevel="0" collapsed="false">
      <c r="A8" s="7"/>
      <c r="B8" s="7"/>
      <c r="C8" s="7"/>
      <c r="D8" s="7"/>
      <c r="E8" s="7"/>
      <c r="F8" s="7"/>
      <c r="G8" s="7"/>
      <c r="H8" s="7"/>
      <c r="I8" s="7"/>
      <c r="J8" s="7"/>
      <c r="K8" s="7"/>
      <c r="L8" s="8" t="str">
        <f aca="false">IF(A8="","",(E8="yes")+(F8="yes")*2+(G8="yes")+(C8="third party")+(LEFT(B8,2)="no")+AND(H8="yes",I8&lt;&gt;"yes"))</f>
        <v/>
      </c>
      <c r="M8" s="7"/>
    </row>
    <row r="9" customFormat="false" ht="39.75" hidden="false" customHeight="true" outlineLevel="0" collapsed="false">
      <c r="A9" s="7"/>
      <c r="B9" s="7"/>
      <c r="C9" s="7"/>
      <c r="D9" s="7"/>
      <c r="E9" s="7"/>
      <c r="F9" s="7"/>
      <c r="G9" s="7"/>
      <c r="H9" s="7"/>
      <c r="I9" s="7"/>
      <c r="J9" s="7"/>
      <c r="K9" s="7"/>
      <c r="L9" s="8" t="str">
        <f aca="false">IF(A9="","",(E9="yes")+(F9="yes")*2+(G9="yes")+(C9="third party")+(LEFT(B9,2)="no")+AND(H9="yes",I9&lt;&gt;"yes"))</f>
        <v/>
      </c>
      <c r="M9" s="7"/>
    </row>
    <row r="10" customFormat="false" ht="39.75" hidden="false" customHeight="true" outlineLevel="0" collapsed="false">
      <c r="A10" s="7"/>
      <c r="B10" s="7"/>
      <c r="C10" s="7"/>
      <c r="D10" s="7"/>
      <c r="E10" s="7"/>
      <c r="F10" s="7"/>
      <c r="G10" s="7"/>
      <c r="H10" s="7"/>
      <c r="I10" s="7"/>
      <c r="J10" s="7"/>
      <c r="K10" s="7"/>
      <c r="L10" s="8" t="str">
        <f aca="false">IF(A10="","",(E10="yes")+(F10="yes")*2+(G10="yes")+(C10="third party")+(LEFT(B10,2)="no")+AND(H10="yes",I10&lt;&gt;"yes"))</f>
        <v/>
      </c>
      <c r="M10" s="7"/>
    </row>
    <row r="11" customFormat="false" ht="39.75" hidden="false" customHeight="true" outlineLevel="0" collapsed="false">
      <c r="A11" s="7"/>
      <c r="B11" s="7"/>
      <c r="C11" s="7"/>
      <c r="D11" s="7"/>
      <c r="E11" s="7"/>
      <c r="F11" s="7"/>
      <c r="G11" s="7"/>
      <c r="H11" s="7"/>
      <c r="I11" s="7"/>
      <c r="J11" s="7"/>
      <c r="K11" s="7"/>
      <c r="L11" s="8" t="str">
        <f aca="false">IF(A11="","",(E11="yes")+(F11="yes")*2+(G11="yes")+(C11="third party")+(LEFT(B11,2)="no")+AND(H11="yes",I11&lt;&gt;"yes"))</f>
        <v/>
      </c>
      <c r="M11" s="7"/>
    </row>
    <row r="12" customFormat="false" ht="39.75" hidden="false" customHeight="true" outlineLevel="0" collapsed="false">
      <c r="A12" s="7"/>
      <c r="B12" s="7"/>
      <c r="C12" s="7"/>
      <c r="D12" s="7"/>
      <c r="E12" s="7"/>
      <c r="F12" s="7"/>
      <c r="G12" s="7"/>
      <c r="H12" s="7"/>
      <c r="I12" s="7"/>
      <c r="J12" s="7"/>
      <c r="K12" s="7"/>
      <c r="L12" s="8" t="str">
        <f aca="false">IF(A12="","",(E12="yes")+(F12="yes")*2+(G12="yes")+(C12="third party")+(LEFT(B12,2)="no")+AND(H12="yes",I12&lt;&gt;"yes"))</f>
        <v/>
      </c>
      <c r="M12" s="7"/>
    </row>
    <row r="13" customFormat="false" ht="39.75" hidden="false" customHeight="true" outlineLevel="0" collapsed="false">
      <c r="A13" s="7"/>
      <c r="B13" s="7"/>
      <c r="C13" s="7"/>
      <c r="D13" s="7"/>
      <c r="E13" s="7"/>
      <c r="F13" s="7"/>
      <c r="G13" s="7"/>
      <c r="H13" s="7"/>
      <c r="I13" s="7"/>
      <c r="J13" s="7"/>
      <c r="K13" s="7"/>
      <c r="L13" s="8" t="str">
        <f aca="false">IF(A13="","",(E13="yes")+(F13="yes")*2+(G13="yes")+(C13="third party")+(LEFT(B13,2)="no")+AND(H13="yes",I13&lt;&gt;"yes"))</f>
        <v/>
      </c>
      <c r="M13" s="7"/>
    </row>
    <row r="14" customFormat="false" ht="39.75" hidden="false" customHeight="true" outlineLevel="0" collapsed="false">
      <c r="A14" s="7"/>
      <c r="B14" s="7"/>
      <c r="C14" s="7"/>
      <c r="D14" s="7"/>
      <c r="E14" s="7"/>
      <c r="F14" s="7"/>
      <c r="G14" s="7"/>
      <c r="H14" s="7"/>
      <c r="I14" s="7"/>
      <c r="J14" s="7"/>
      <c r="K14" s="7"/>
      <c r="L14" s="8" t="str">
        <f aca="false">IF(A14="","",(E14="yes")+(F14="yes")*2+(G14="yes")+(C14="third party")+(LEFT(B14,2)="no")+AND(H14="yes",I14&lt;&gt;"yes"))</f>
        <v/>
      </c>
      <c r="M14" s="7"/>
    </row>
    <row r="15" customFormat="false" ht="15" hidden="false" customHeight="true" outlineLevel="0" collapsed="false">
      <c r="A15" s="3" t="s">
        <v>35</v>
      </c>
    </row>
    <row r="16" customFormat="false" ht="15" hidden="false" customHeight="true" outlineLevel="0" collapsed="false">
      <c r="A16" s="3" t="s">
        <v>36</v>
      </c>
    </row>
    <row r="18" customFormat="false" ht="15" hidden="false" customHeight="true" outlineLevel="0" collapsed="false">
      <c r="A18" s="9" t="s">
        <v>37</v>
      </c>
    </row>
    <row r="19" customFormat="false" ht="31.5" hidden="false" customHeight="true" outlineLevel="0" collapsed="false">
      <c r="A19" s="6" t="s">
        <v>38</v>
      </c>
      <c r="B19" s="6" t="s">
        <v>39</v>
      </c>
    </row>
    <row r="20" customFormat="false" ht="30.75" hidden="false" customHeight="true" outlineLevel="0" collapsed="false">
      <c r="A20" s="10" t="s">
        <v>40</v>
      </c>
      <c r="B20" s="7"/>
      <c r="C20" s="11" t="str">
        <f aca="false">IF(COUNTBLANK(B20:B22)&gt;0,"Answer all three.",IF(COUNTIF(B20:B22,"yes")=3,"All three in one session is a channel, not three problems. Split the session: put the way out in its own session with no access to the rest.","Not a channel today. Re-check when a tool is added."))</f>
        <v>Answer all three.</v>
      </c>
      <c r="D20" s="11"/>
      <c r="E20" s="11"/>
      <c r="F20" s="11"/>
      <c r="G20" s="11"/>
    </row>
    <row r="21" customFormat="false" ht="30.75" hidden="false" customHeight="true" outlineLevel="0" collapsed="false">
      <c r="A21" s="10" t="s">
        <v>41</v>
      </c>
      <c r="B21" s="7"/>
      <c r="C21" s="11"/>
      <c r="D21" s="11"/>
      <c r="E21" s="11"/>
      <c r="F21" s="11"/>
      <c r="G21" s="11"/>
    </row>
    <row r="22" customFormat="false" ht="30.75" hidden="false" customHeight="true" outlineLevel="0" collapsed="false">
      <c r="A22" s="10" t="s">
        <v>42</v>
      </c>
      <c r="B22" s="7"/>
      <c r="C22" s="11"/>
      <c r="D22" s="11"/>
      <c r="E22" s="11"/>
      <c r="F22" s="11"/>
      <c r="G22" s="11"/>
    </row>
    <row r="23" customFormat="false" ht="33.75" hidden="false" customHeight="true" outlineLevel="0" collapsed="false">
      <c r="A23" s="10" t="s">
        <v>43</v>
      </c>
      <c r="B23" s="7"/>
      <c r="C23" s="7"/>
      <c r="D23" s="7"/>
      <c r="E23" s="7"/>
      <c r="F23" s="7"/>
      <c r="G23" s="7"/>
    </row>
    <row r="26" customFormat="false" ht="15" hidden="false" customHeight="true" outlineLevel="0" collapsed="false">
      <c r="A26" s="9" t="s">
        <v>44</v>
      </c>
    </row>
    <row r="27" customFormat="false" ht="31.5" hidden="false" customHeight="true" outlineLevel="0" collapsed="false">
      <c r="A27" s="6" t="s">
        <v>45</v>
      </c>
      <c r="B27" s="6" t="s">
        <v>46</v>
      </c>
      <c r="C27" s="6" t="s">
        <v>47</v>
      </c>
      <c r="D27" s="6" t="s">
        <v>48</v>
      </c>
      <c r="E27" s="6"/>
      <c r="F27" s="6" t="s">
        <v>34</v>
      </c>
      <c r="G27" s="6"/>
      <c r="H27" s="6"/>
      <c r="I27" s="6"/>
      <c r="J27" s="6"/>
      <c r="K27" s="6"/>
      <c r="L27" s="6"/>
      <c r="M27" s="6"/>
    </row>
    <row r="28" customFormat="false" ht="30" hidden="false" customHeight="true" outlineLevel="0" collapsed="false">
      <c r="A28" s="7"/>
      <c r="B28" s="7"/>
      <c r="C28" s="7"/>
      <c r="D28" s="7"/>
      <c r="E28" s="7"/>
      <c r="F28" s="7"/>
      <c r="G28" s="7"/>
      <c r="H28" s="7"/>
      <c r="I28" s="7"/>
      <c r="J28" s="7"/>
      <c r="K28" s="7"/>
      <c r="L28" s="7"/>
      <c r="M28" s="7"/>
    </row>
    <row r="29" customFormat="false" ht="30" hidden="false" customHeight="true" outlineLevel="0" collapsed="false">
      <c r="A29" s="7"/>
      <c r="B29" s="7"/>
      <c r="C29" s="7"/>
      <c r="D29" s="7"/>
      <c r="E29" s="7"/>
      <c r="F29" s="7"/>
      <c r="G29" s="7"/>
      <c r="H29" s="7"/>
      <c r="I29" s="7"/>
      <c r="J29" s="7"/>
      <c r="K29" s="7"/>
      <c r="L29" s="7"/>
      <c r="M29" s="7"/>
    </row>
    <row r="30" customFormat="false" ht="30" hidden="false" customHeight="true" outlineLevel="0" collapsed="false">
      <c r="A30" s="7"/>
      <c r="B30" s="7"/>
      <c r="C30" s="7"/>
      <c r="D30" s="7"/>
      <c r="E30" s="7"/>
      <c r="F30" s="7"/>
      <c r="G30" s="7"/>
      <c r="H30" s="7"/>
      <c r="I30" s="7"/>
      <c r="J30" s="7"/>
      <c r="K30" s="7"/>
      <c r="L30" s="7"/>
      <c r="M30" s="7"/>
    </row>
    <row r="31" customFormat="false" ht="30" hidden="false" customHeight="true" outlineLevel="0" collapsed="false">
      <c r="A31" s="7"/>
      <c r="B31" s="7"/>
      <c r="C31" s="7"/>
      <c r="D31" s="7"/>
      <c r="E31" s="7"/>
      <c r="F31" s="7"/>
      <c r="G31" s="7"/>
      <c r="H31" s="7"/>
      <c r="I31" s="7"/>
      <c r="J31" s="7"/>
      <c r="K31" s="7"/>
      <c r="L31" s="7"/>
      <c r="M31" s="7"/>
    </row>
    <row r="32" customFormat="false" ht="30" hidden="false" customHeight="true" outlineLevel="0" collapsed="false">
      <c r="A32" s="7"/>
      <c r="B32" s="7"/>
      <c r="C32" s="7"/>
      <c r="D32" s="7"/>
      <c r="E32" s="7"/>
      <c r="F32" s="7"/>
      <c r="G32" s="7"/>
      <c r="H32" s="7"/>
      <c r="I32" s="7"/>
      <c r="J32" s="7"/>
      <c r="K32" s="7"/>
      <c r="L32" s="7"/>
      <c r="M32" s="7"/>
    </row>
    <row r="33" customFormat="false" ht="30" hidden="false" customHeight="true" outlineLevel="0" collapsed="false">
      <c r="A33" s="7"/>
      <c r="B33" s="7"/>
      <c r="C33" s="7"/>
      <c r="D33" s="7"/>
      <c r="E33" s="7"/>
      <c r="F33" s="7"/>
      <c r="G33" s="7"/>
      <c r="H33" s="7"/>
      <c r="I33" s="7"/>
      <c r="J33" s="7"/>
      <c r="K33" s="7"/>
      <c r="L33" s="7"/>
      <c r="M33" s="7"/>
    </row>
  </sheetData>
  <mergeCells count="16">
    <mergeCell ref="C20:G22"/>
    <mergeCell ref="B23:G23"/>
    <mergeCell ref="D27:E27"/>
    <mergeCell ref="F27:M27"/>
    <mergeCell ref="D28:E28"/>
    <mergeCell ref="F28:M28"/>
    <mergeCell ref="D29:E29"/>
    <mergeCell ref="F29:M29"/>
    <mergeCell ref="D30:E30"/>
    <mergeCell ref="F30:M30"/>
    <mergeCell ref="D31:E31"/>
    <mergeCell ref="F31:M31"/>
    <mergeCell ref="D32:E32"/>
    <mergeCell ref="F32:M32"/>
    <mergeCell ref="D33:E33"/>
    <mergeCell ref="F33:M33"/>
  </mergeCells>
  <conditionalFormatting sqref="L5:L14">
    <cfRule type="cellIs" priority="2" operator="greaterThanOrEqual" aboveAverage="0" equalAverage="0" bottom="0" percent="0" rank="0" text="" dxfId="0">
      <formula>4</formula>
    </cfRule>
  </conditionalFormatting>
  <conditionalFormatting sqref="J5:J14">
    <cfRule type="expression" priority="3" aboveAverage="0" equalAverage="0" bottom="0" percent="0" rank="0" text="" dxfId="0">
      <formula>J5="deny"</formula>
    </cfRule>
    <cfRule type="expression" priority="4" aboveAverage="0" equalAverage="0" bottom="0" percent="0" rank="0" text="" dxfId="1">
      <formula>J5="allow"</formula>
    </cfRule>
  </conditionalFormatting>
  <dataValidations count="5">
    <dataValidation allowBlank="true" error="Allowed values: us, third party" errorStyle="stop" errorTitle="Pick from the list" operator="between" showDropDown="false" showErrorMessage="true" showInputMessage="false" sqref="C5:C14" type="list">
      <formula1>"us,third party"</formula1>
      <formula2>0</formula2>
    </dataValidation>
    <dataValidation allowBlank="true" error="Allowed values: yes, no, n/a" errorStyle="stop" errorTitle="Pick from the list" operator="between" showDropDown="false" showErrorMessage="true" showInputMessage="false" sqref="E5:I14" type="list">
      <formula1>"yes,no,n/a"</formula1>
      <formula2>0</formula2>
    </dataValidation>
    <dataValidation allowBlank="true" error="Allowed values: allow, review, deny" errorStyle="stop" errorTitle="Pick from the list" operator="between" showDropDown="false" showErrorMessage="true" showInputMessage="false" sqref="J5:J14" type="list">
      <formula1>"allow,review,deny"</formula1>
      <formula2>0</formula2>
    </dataValidation>
    <dataValidation allowBlank="true" error="Allowed values: yes, no" errorStyle="stop" errorTitle="Pick from the list" operator="between" showDropDown="false" showErrorMessage="true" showInputMessage="false" sqref="B20:B22" type="list">
      <formula1>"yes,no"</formula1>
      <formula2>0</formula2>
    </dataValidation>
    <dataValidation allowBlank="true" error="Allowed values: yes, no" errorStyle="stop" errorTitle="Pick from the list" operator="between" showDropDown="false" showErrorMessage="true" showInputMessage="false" sqref="C28:C3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3" min="3" style="1" width="14"/>
    <col collapsed="false" customWidth="true" hidden="false" outlineLevel="0" max="4" min="4" style="1" width="24"/>
    <col collapsed="false" customWidth="true" hidden="false" outlineLevel="0" max="6" min="5" style="1" width="12"/>
    <col collapsed="false" customWidth="true" hidden="false" outlineLevel="0" max="9" min="7" style="1" width="13"/>
    <col collapsed="false" customWidth="true" hidden="false" outlineLevel="0" max="10" min="10" style="1" width="12"/>
    <col collapsed="false" customWidth="true" hidden="false" outlineLevel="0" max="11" min="11" style="1" width="14"/>
    <col collapsed="false" customWidth="true" hidden="false" outlineLevel="0" max="12" min="12" style="1" width="11"/>
    <col collapsed="false" customWidth="true" hidden="false" outlineLevel="0" max="13" min="13" style="1" width="52"/>
  </cols>
  <sheetData>
    <row r="1" customFormat="false" ht="19.5" hidden="false" customHeight="true" outlineLevel="0" collapsed="false">
      <c r="A1" s="2" t="s">
        <v>20</v>
      </c>
    </row>
    <row r="2" customFormat="false" ht="15" hidden="false" customHeight="true" outlineLevel="0" collapsed="false">
      <c r="A2" s="3" t="s">
        <v>49</v>
      </c>
    </row>
    <row r="4" customFormat="false" ht="57.75" hidden="false" customHeight="true" outlineLevel="0" collapsed="false">
      <c r="A4" s="6" t="s">
        <v>22</v>
      </c>
      <c r="B4" s="6" t="s">
        <v>23</v>
      </c>
      <c r="C4" s="6" t="s">
        <v>24</v>
      </c>
      <c r="D4" s="6" t="s">
        <v>25</v>
      </c>
      <c r="E4" s="6" t="s">
        <v>26</v>
      </c>
      <c r="F4" s="6" t="s">
        <v>27</v>
      </c>
      <c r="G4" s="6" t="s">
        <v>28</v>
      </c>
      <c r="H4" s="6" t="s">
        <v>29</v>
      </c>
      <c r="I4" s="6" t="s">
        <v>30</v>
      </c>
      <c r="J4" s="6" t="s">
        <v>31</v>
      </c>
      <c r="K4" s="6" t="s">
        <v>32</v>
      </c>
      <c r="L4" s="6" t="s">
        <v>33</v>
      </c>
      <c r="M4" s="6" t="s">
        <v>34</v>
      </c>
    </row>
    <row r="5" customFormat="false" ht="39.75" hidden="false" customHeight="true" outlineLevel="0" collapsed="false">
      <c r="A5" s="7" t="s">
        <v>50</v>
      </c>
      <c r="B5" s="7" t="s">
        <v>51</v>
      </c>
      <c r="C5" s="7" t="s">
        <v>52</v>
      </c>
      <c r="D5" s="7" t="s">
        <v>53</v>
      </c>
      <c r="E5" s="7" t="s">
        <v>54</v>
      </c>
      <c r="F5" s="7" t="s">
        <v>55</v>
      </c>
      <c r="G5" s="7" t="s">
        <v>54</v>
      </c>
      <c r="H5" s="7" t="s">
        <v>55</v>
      </c>
      <c r="I5" s="7" t="s">
        <v>56</v>
      </c>
      <c r="J5" s="7" t="s">
        <v>57</v>
      </c>
      <c r="K5" s="7" t="s">
        <v>58</v>
      </c>
      <c r="L5" s="8" t="n">
        <f aca="false">IF(A5="","",(E5="yes")+(F5="yes")*2+(G5="yes")+(C5="third party")+(LEFT(B5,2)="no")+AND(H5="yes",I5&lt;&gt;"yes"))</f>
        <v>2</v>
      </c>
      <c r="M5" s="7" t="s">
        <v>59</v>
      </c>
    </row>
    <row r="6" customFormat="false" ht="39.75" hidden="false" customHeight="true" outlineLevel="0" collapsed="false">
      <c r="A6" s="7" t="s">
        <v>60</v>
      </c>
      <c r="B6" s="7" t="s">
        <v>61</v>
      </c>
      <c r="C6" s="7" t="s">
        <v>52</v>
      </c>
      <c r="D6" s="7" t="s">
        <v>62</v>
      </c>
      <c r="E6" s="7" t="s">
        <v>54</v>
      </c>
      <c r="F6" s="7" t="s">
        <v>55</v>
      </c>
      <c r="G6" s="7" t="s">
        <v>54</v>
      </c>
      <c r="H6" s="7" t="s">
        <v>54</v>
      </c>
      <c r="I6" s="7" t="s">
        <v>54</v>
      </c>
      <c r="J6" s="7" t="s">
        <v>57</v>
      </c>
      <c r="K6" s="7" t="s">
        <v>58</v>
      </c>
      <c r="L6" s="8" t="n">
        <f aca="false">IF(A6="","",(E6="yes")+(F6="yes")*2+(G6="yes")+(C6="third party")+(LEFT(B6,2)="no")+AND(H6="yes",I6&lt;&gt;"yes"))</f>
        <v>2</v>
      </c>
      <c r="M6" s="7" t="s">
        <v>63</v>
      </c>
    </row>
    <row r="7" customFormat="false" ht="43.5" hidden="false" customHeight="true" outlineLevel="0" collapsed="false">
      <c r="A7" s="7" t="s">
        <v>64</v>
      </c>
      <c r="B7" s="7" t="s">
        <v>55</v>
      </c>
      <c r="C7" s="7" t="s">
        <v>65</v>
      </c>
      <c r="D7" s="7" t="s">
        <v>66</v>
      </c>
      <c r="E7" s="7" t="s">
        <v>54</v>
      </c>
      <c r="F7" s="7" t="s">
        <v>54</v>
      </c>
      <c r="G7" s="7" t="s">
        <v>54</v>
      </c>
      <c r="H7" s="7" t="s">
        <v>54</v>
      </c>
      <c r="I7" s="7" t="s">
        <v>55</v>
      </c>
      <c r="J7" s="7" t="s">
        <v>67</v>
      </c>
      <c r="K7" s="7" t="s">
        <v>58</v>
      </c>
      <c r="L7" s="8" t="n">
        <f aca="false">IF(A7="","",(E7="yes")+(F7="yes")*2+(G7="yes")+(C7="third party")+(LEFT(B7,2)="no")+AND(H7="yes",I7&lt;&gt;"yes"))</f>
        <v>7</v>
      </c>
      <c r="M7" s="7" t="s">
        <v>68</v>
      </c>
    </row>
    <row r="8" customFormat="false" ht="39.75" hidden="false" customHeight="true" outlineLevel="0" collapsed="false">
      <c r="A8" s="7"/>
      <c r="B8" s="7"/>
      <c r="C8" s="7"/>
      <c r="D8" s="7"/>
      <c r="E8" s="7"/>
      <c r="F8" s="7"/>
      <c r="G8" s="7"/>
      <c r="H8" s="7"/>
      <c r="I8" s="7"/>
      <c r="J8" s="7"/>
      <c r="K8" s="7"/>
      <c r="L8" s="8" t="str">
        <f aca="false">IF(A8="","",(E8="yes")+(F8="yes")*2+(G8="yes")+(C8="third party")+(LEFT(B8,2)="no")+AND(H8="yes",I8&lt;&gt;"yes"))</f>
        <v/>
      </c>
      <c r="M8" s="7"/>
    </row>
    <row r="9" customFormat="false" ht="39.75" hidden="false" customHeight="true" outlineLevel="0" collapsed="false">
      <c r="A9" s="7"/>
      <c r="B9" s="7"/>
      <c r="C9" s="7"/>
      <c r="D9" s="7"/>
      <c r="E9" s="7"/>
      <c r="F9" s="7"/>
      <c r="G9" s="7"/>
      <c r="H9" s="7"/>
      <c r="I9" s="7"/>
      <c r="J9" s="7"/>
      <c r="K9" s="7"/>
      <c r="L9" s="8" t="str">
        <f aca="false">IF(A9="","",(E9="yes")+(F9="yes")*2+(G9="yes")+(C9="third party")+(LEFT(B9,2)="no")+AND(H9="yes",I9&lt;&gt;"yes"))</f>
        <v/>
      </c>
      <c r="M9" s="7"/>
    </row>
    <row r="10" customFormat="false" ht="39.75" hidden="false" customHeight="true" outlineLevel="0" collapsed="false">
      <c r="A10" s="7"/>
      <c r="B10" s="7"/>
      <c r="C10" s="7"/>
      <c r="D10" s="7"/>
      <c r="E10" s="7"/>
      <c r="F10" s="7"/>
      <c r="G10" s="7"/>
      <c r="H10" s="7"/>
      <c r="I10" s="7"/>
      <c r="J10" s="7"/>
      <c r="K10" s="7"/>
      <c r="L10" s="8" t="str">
        <f aca="false">IF(A10="","",(E10="yes")+(F10="yes")*2+(G10="yes")+(C10="third party")+(LEFT(B10,2)="no")+AND(H10="yes",I10&lt;&gt;"yes"))</f>
        <v/>
      </c>
      <c r="M10" s="7"/>
    </row>
    <row r="11" customFormat="false" ht="39.75" hidden="false" customHeight="true" outlineLevel="0" collapsed="false">
      <c r="A11" s="7"/>
      <c r="B11" s="7"/>
      <c r="C11" s="7"/>
      <c r="D11" s="7"/>
      <c r="E11" s="7"/>
      <c r="F11" s="7"/>
      <c r="G11" s="7"/>
      <c r="H11" s="7"/>
      <c r="I11" s="7"/>
      <c r="J11" s="7"/>
      <c r="K11" s="7"/>
      <c r="L11" s="8" t="str">
        <f aca="false">IF(A11="","",(E11="yes")+(F11="yes")*2+(G11="yes")+(C11="third party")+(LEFT(B11,2)="no")+AND(H11="yes",I11&lt;&gt;"yes"))</f>
        <v/>
      </c>
      <c r="M11" s="7"/>
    </row>
    <row r="12" customFormat="false" ht="39.75" hidden="false" customHeight="true" outlineLevel="0" collapsed="false">
      <c r="A12" s="7"/>
      <c r="B12" s="7"/>
      <c r="C12" s="7"/>
      <c r="D12" s="7"/>
      <c r="E12" s="7"/>
      <c r="F12" s="7"/>
      <c r="G12" s="7"/>
      <c r="H12" s="7"/>
      <c r="I12" s="7"/>
      <c r="J12" s="7"/>
      <c r="K12" s="7"/>
      <c r="L12" s="8" t="str">
        <f aca="false">IF(A12="","",(E12="yes")+(F12="yes")*2+(G12="yes")+(C12="third party")+(LEFT(B12,2)="no")+AND(H12="yes",I12&lt;&gt;"yes"))</f>
        <v/>
      </c>
      <c r="M12" s="7"/>
    </row>
    <row r="13" customFormat="false" ht="39.75" hidden="false" customHeight="true" outlineLevel="0" collapsed="false">
      <c r="A13" s="7"/>
      <c r="B13" s="7"/>
      <c r="C13" s="7"/>
      <c r="D13" s="7"/>
      <c r="E13" s="7"/>
      <c r="F13" s="7"/>
      <c r="G13" s="7"/>
      <c r="H13" s="7"/>
      <c r="I13" s="7"/>
      <c r="J13" s="7"/>
      <c r="K13" s="7"/>
      <c r="L13" s="8" t="str">
        <f aca="false">IF(A13="","",(E13="yes")+(F13="yes")*2+(G13="yes")+(C13="third party")+(LEFT(B13,2)="no")+AND(H13="yes",I13&lt;&gt;"yes"))</f>
        <v/>
      </c>
      <c r="M13" s="7"/>
    </row>
    <row r="14" customFormat="false" ht="39.75" hidden="false" customHeight="true" outlineLevel="0" collapsed="false">
      <c r="A14" s="7"/>
      <c r="B14" s="7"/>
      <c r="C14" s="7"/>
      <c r="D14" s="7"/>
      <c r="E14" s="7"/>
      <c r="F14" s="7"/>
      <c r="G14" s="7"/>
      <c r="H14" s="7"/>
      <c r="I14" s="7"/>
      <c r="J14" s="7"/>
      <c r="K14" s="7"/>
      <c r="L14" s="8" t="str">
        <f aca="false">IF(A14="","",(E14="yes")+(F14="yes")*2+(G14="yes")+(C14="third party")+(LEFT(B14,2)="no")+AND(H14="yes",I14&lt;&gt;"yes"))</f>
        <v/>
      </c>
      <c r="M14" s="7"/>
    </row>
    <row r="15" customFormat="false" ht="15" hidden="false" customHeight="true" outlineLevel="0" collapsed="false">
      <c r="A15" s="3" t="s">
        <v>35</v>
      </c>
    </row>
    <row r="16" customFormat="false" ht="15" hidden="false" customHeight="true" outlineLevel="0" collapsed="false">
      <c r="A16" s="3" t="s">
        <v>36</v>
      </c>
    </row>
    <row r="18" customFormat="false" ht="15" hidden="false" customHeight="true" outlineLevel="0" collapsed="false">
      <c r="A18" s="9" t="s">
        <v>37</v>
      </c>
    </row>
    <row r="19" customFormat="false" ht="31.5" hidden="false" customHeight="true" outlineLevel="0" collapsed="false">
      <c r="A19" s="6" t="s">
        <v>38</v>
      </c>
      <c r="B19" s="6" t="s">
        <v>39</v>
      </c>
    </row>
    <row r="20" customFormat="false" ht="30.75" hidden="false" customHeight="true" outlineLevel="0" collapsed="false">
      <c r="A20" s="10" t="s">
        <v>40</v>
      </c>
      <c r="B20" s="7" t="s">
        <v>54</v>
      </c>
      <c r="C20" s="11" t="str">
        <f aca="false">IF(COUNTBLANK(B20:B22)&gt;0,"Answer all three.",IF(COUNTIF(B20:B22,"yes")=3,"All three in one session is a channel, not three problems. Split the session: put the way out in its own session with no access to the rest.","Not a channel today. Re-check when a tool is added."))</f>
        <v>All three in one session is a channel, not three problems. Split the session: put the way out in its own session with no access to the rest.</v>
      </c>
      <c r="D20" s="11"/>
      <c r="E20" s="11"/>
      <c r="F20" s="11"/>
      <c r="G20" s="11"/>
    </row>
    <row r="21" customFormat="false" ht="30.75" hidden="false" customHeight="true" outlineLevel="0" collapsed="false">
      <c r="A21" s="10" t="s">
        <v>41</v>
      </c>
      <c r="B21" s="7" t="s">
        <v>54</v>
      </c>
      <c r="C21" s="11"/>
      <c r="D21" s="11"/>
      <c r="E21" s="11"/>
      <c r="F21" s="11"/>
      <c r="G21" s="11"/>
    </row>
    <row r="22" customFormat="false" ht="30.75" hidden="false" customHeight="true" outlineLevel="0" collapsed="false">
      <c r="A22" s="10" t="s">
        <v>42</v>
      </c>
      <c r="B22" s="7" t="s">
        <v>54</v>
      </c>
      <c r="C22" s="11"/>
      <c r="D22" s="11"/>
      <c r="E22" s="11"/>
      <c r="F22" s="11"/>
      <c r="G22" s="11"/>
    </row>
    <row r="23" customFormat="false" ht="33.75" hidden="false" customHeight="true" outlineLevel="0" collapsed="false">
      <c r="A23" s="10" t="s">
        <v>43</v>
      </c>
      <c r="B23" s="7" t="s">
        <v>69</v>
      </c>
      <c r="C23" s="7"/>
      <c r="D23" s="7"/>
      <c r="E23" s="7"/>
      <c r="F23" s="7"/>
      <c r="G23" s="7"/>
    </row>
    <row r="26" customFormat="false" ht="15" hidden="false" customHeight="true" outlineLevel="0" collapsed="false">
      <c r="A26" s="9" t="s">
        <v>44</v>
      </c>
    </row>
    <row r="27" customFormat="false" ht="31.5" hidden="false" customHeight="true" outlineLevel="0" collapsed="false">
      <c r="A27" s="6" t="s">
        <v>45</v>
      </c>
      <c r="B27" s="6" t="s">
        <v>46</v>
      </c>
      <c r="C27" s="6" t="s">
        <v>47</v>
      </c>
      <c r="D27" s="6" t="s">
        <v>48</v>
      </c>
      <c r="E27" s="6"/>
      <c r="F27" s="6" t="s">
        <v>34</v>
      </c>
      <c r="G27" s="6"/>
      <c r="H27" s="6"/>
      <c r="I27" s="6"/>
      <c r="J27" s="6"/>
      <c r="K27" s="6"/>
      <c r="L27" s="6"/>
      <c r="M27" s="6"/>
    </row>
    <row r="28" customFormat="false" ht="30.75" hidden="false" customHeight="true" outlineLevel="0" collapsed="false">
      <c r="A28" s="7" t="s">
        <v>70</v>
      </c>
      <c r="B28" s="7" t="s">
        <v>71</v>
      </c>
      <c r="C28" s="7" t="s">
        <v>54</v>
      </c>
      <c r="D28" s="7" t="s">
        <v>72</v>
      </c>
      <c r="E28" s="7"/>
      <c r="F28" s="7" t="s">
        <v>73</v>
      </c>
      <c r="G28" s="7"/>
      <c r="H28" s="7"/>
      <c r="I28" s="7"/>
      <c r="J28" s="7"/>
      <c r="K28" s="7"/>
      <c r="L28" s="7"/>
      <c r="M28" s="7"/>
    </row>
    <row r="29" customFormat="false" ht="30.75" hidden="false" customHeight="true" outlineLevel="0" collapsed="false">
      <c r="A29" s="7" t="s">
        <v>74</v>
      </c>
      <c r="B29" s="7" t="s">
        <v>75</v>
      </c>
      <c r="C29" s="7" t="s">
        <v>54</v>
      </c>
      <c r="D29" s="7" t="s">
        <v>54</v>
      </c>
      <c r="E29" s="7"/>
      <c r="F29" s="7" t="s">
        <v>76</v>
      </c>
      <c r="G29" s="7"/>
      <c r="H29" s="7"/>
      <c r="I29" s="7"/>
      <c r="J29" s="7"/>
      <c r="K29" s="7"/>
      <c r="L29" s="7"/>
      <c r="M29" s="7"/>
    </row>
    <row r="30" customFormat="false" ht="30" hidden="false" customHeight="true" outlineLevel="0" collapsed="false">
      <c r="A30" s="7" t="s">
        <v>77</v>
      </c>
      <c r="B30" s="7" t="s">
        <v>78</v>
      </c>
      <c r="C30" s="7" t="s">
        <v>54</v>
      </c>
      <c r="D30" s="7" t="s">
        <v>54</v>
      </c>
      <c r="E30" s="7"/>
      <c r="F30" s="7" t="s">
        <v>79</v>
      </c>
      <c r="G30" s="7"/>
      <c r="H30" s="7"/>
      <c r="I30" s="7"/>
      <c r="J30" s="7"/>
      <c r="K30" s="7"/>
      <c r="L30" s="7"/>
      <c r="M30" s="7"/>
    </row>
    <row r="31" customFormat="false" ht="30" hidden="false" customHeight="true" outlineLevel="0" collapsed="false">
      <c r="A31" s="7"/>
      <c r="B31" s="7"/>
      <c r="C31" s="7"/>
      <c r="D31" s="7"/>
      <c r="E31" s="7"/>
      <c r="F31" s="7"/>
      <c r="G31" s="7"/>
      <c r="H31" s="7"/>
      <c r="I31" s="7"/>
      <c r="J31" s="7"/>
      <c r="K31" s="7"/>
      <c r="L31" s="7"/>
      <c r="M31" s="7"/>
    </row>
    <row r="32" customFormat="false" ht="30" hidden="false" customHeight="true" outlineLevel="0" collapsed="false">
      <c r="A32" s="7"/>
      <c r="B32" s="7"/>
      <c r="C32" s="7"/>
      <c r="D32" s="7"/>
      <c r="E32" s="7"/>
      <c r="F32" s="7"/>
      <c r="G32" s="7"/>
      <c r="H32" s="7"/>
      <c r="I32" s="7"/>
      <c r="J32" s="7"/>
      <c r="K32" s="7"/>
      <c r="L32" s="7"/>
      <c r="M32" s="7"/>
    </row>
    <row r="33" customFormat="false" ht="30" hidden="false" customHeight="true" outlineLevel="0" collapsed="false">
      <c r="A33" s="7"/>
      <c r="B33" s="7"/>
      <c r="C33" s="7"/>
      <c r="D33" s="7"/>
      <c r="E33" s="7"/>
      <c r="F33" s="7"/>
      <c r="G33" s="7"/>
      <c r="H33" s="7"/>
      <c r="I33" s="7"/>
      <c r="J33" s="7"/>
      <c r="K33" s="7"/>
      <c r="L33" s="7"/>
      <c r="M33" s="7"/>
    </row>
  </sheetData>
  <mergeCells count="16">
    <mergeCell ref="C20:G22"/>
    <mergeCell ref="B23:G23"/>
    <mergeCell ref="D27:E27"/>
    <mergeCell ref="F27:M27"/>
    <mergeCell ref="D28:E28"/>
    <mergeCell ref="F28:M28"/>
    <mergeCell ref="D29:E29"/>
    <mergeCell ref="F29:M29"/>
    <mergeCell ref="D30:E30"/>
    <mergeCell ref="F30:M30"/>
    <mergeCell ref="D31:E31"/>
    <mergeCell ref="F31:M31"/>
    <mergeCell ref="D32:E32"/>
    <mergeCell ref="F32:M32"/>
    <mergeCell ref="D33:E33"/>
    <mergeCell ref="F33:M33"/>
  </mergeCells>
  <conditionalFormatting sqref="L5:L14">
    <cfRule type="cellIs" priority="2" operator="greaterThanOrEqual" aboveAverage="0" equalAverage="0" bottom="0" percent="0" rank="0" text="" dxfId="0">
      <formula>4</formula>
    </cfRule>
  </conditionalFormatting>
  <conditionalFormatting sqref="J5:J14">
    <cfRule type="expression" priority="3" aboveAverage="0" equalAverage="0" bottom="0" percent="0" rank="0" text="" dxfId="0">
      <formula>J5="deny"</formula>
    </cfRule>
    <cfRule type="expression" priority="4" aboveAverage="0" equalAverage="0" bottom="0" percent="0" rank="0" text="" dxfId="1">
      <formula>J5="allow"</formula>
    </cfRule>
  </conditionalFormatting>
  <dataValidations count="5">
    <dataValidation allowBlank="true" error="Allowed values: us, third party" errorStyle="stop" errorTitle="Pick from the list" operator="between" showDropDown="false" showErrorMessage="true" showInputMessage="false" sqref="C5:C14" type="list">
      <formula1>"us,third party"</formula1>
      <formula2>0</formula2>
    </dataValidation>
    <dataValidation allowBlank="true" error="Allowed values: yes, no, n/a" errorStyle="stop" errorTitle="Pick from the list" operator="between" showDropDown="false" showErrorMessage="true" showInputMessage="false" sqref="E5:I14" type="list">
      <formula1>"yes,no,n/a"</formula1>
      <formula2>0</formula2>
    </dataValidation>
    <dataValidation allowBlank="true" error="Allowed values: allow, review, deny" errorStyle="stop" errorTitle="Pick from the list" operator="between" showDropDown="false" showErrorMessage="true" showInputMessage="false" sqref="J5:J14" type="list">
      <formula1>"allow,review,deny"</formula1>
      <formula2>0</formula2>
    </dataValidation>
    <dataValidation allowBlank="true" error="Allowed values: yes, no" errorStyle="stop" errorTitle="Pick from the list" operator="between" showDropDown="false" showErrorMessage="true" showInputMessage="false" sqref="B20:B22" type="list">
      <formula1>"yes,no"</formula1>
      <formula2>0</formula2>
    </dataValidation>
    <dataValidation allowBlank="true" error="Allowed values: yes, no" errorStyle="stop" errorTitle="Pick from the list" operator="between" showDropDown="false" showErrorMessage="true" showInputMessage="false" sqref="C28:C3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2026-09-30T01:11:52Z</dcterms:created>
  <dc:creator>openpyxl</dc:creator>
  <dc:description/>
  <dc:language>en-US</dc:language>
  <cp:lastModifiedBy/>
  <dcterms:modified xsi:type="dcterms:W3CDTF">2026-09-30T01:12:35Z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