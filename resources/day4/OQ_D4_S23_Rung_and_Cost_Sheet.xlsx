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tart here" sheetId="1" state="visible" r:id="rId3"/>
    <sheet name="Your run" sheetId="2" state="visible" r:id="rId4"/>
    <sheet name="Reference ru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<sst xmlns="http://schemas.openxmlformats.org/spreadsheetml/2006/main" count="218" uniqueCount="119">
  <si>
    <t xml:space="preserve">Which rung, and what does it cost? The S23 rung and cost sheet</t>
  </si>
  <si>
    <t xml:space="preserve">Advanced AI for IT | OQ | Day 4, S23 | Synthetic program material</t>
  </si>
  <si>
    <t xml:space="preserve">What it gives you</t>
  </si>
  <si>
    <t xml:space="preserve">The four architectures from notebook 12 side by side, priced, with the three caps worked out for the one you pick, and the four questions from S20 written down as answers.</t>
  </si>
  <si>
    <t xml:space="preserve">Time</t>
  </si>
  <si>
    <t xml:space="preserve">About 10 minutes after the S23 lab.</t>
  </si>
  <si>
    <t xml:space="preserve">Step 1</t>
  </si>
  <si>
    <t xml:space="preserve">Sheet 'Your run': type the scoreboard into block 1. Set your monthly volume in B4 and your three bars in B5 to B7.</t>
  </si>
  <si>
    <t xml:space="preserve">Step 2</t>
  </si>
  <si>
    <t xml:space="preserve">Read the ratios in L to N. They are against the workflow row, so change that row if your baseline is different.</t>
  </si>
  <si>
    <t xml:space="preserve">Step 3</t>
  </si>
  <si>
    <t xml:space="preserve">Block 2 shows who held the steps: code or the model. That is the rung 4 / rung 5 line in numbers.</t>
  </si>
  <si>
    <t xml:space="preserve">Step 4</t>
  </si>
  <si>
    <t xml:space="preserve">Pick an architecture in block 3. The three caps compute from your own run, with the multiplier in B8.</t>
  </si>
  <si>
    <t xml:space="preserve">Step 5</t>
  </si>
  <si>
    <t xml:space="preserve">Answer the four questions in block 5, then write the three lines in block 6. That is your S20 write-down, with evidence.</t>
  </si>
  <si>
    <t xml:space="preserve">Reference run</t>
  </si>
  <si>
    <t xml:space="preserve">Sheet 'Reference run' is the program's saved run: 6 SGP tickets, gpt-4.1-mini. One ticket is 0.17, so read differences of one ticket as noise until you have more tickets.</t>
  </si>
  <si>
    <t xml:space="preserve">Dollars</t>
  </si>
  <si>
    <t xml:space="preserve">USD figures are the notebook's own arithmetic at the price table in notebook 12. Prices change; re-run the notebook before you quote them.</t>
  </si>
  <si>
    <t xml:space="preserve">If a cell is blank</t>
  </si>
  <si>
    <t xml:space="preserve">The formulas stay blank instead of showing an error.</t>
  </si>
  <si>
    <t xml:space="preserve">Which rung, and what does it cost?</t>
  </si>
  <si>
    <t xml:space="preserve">Day 4, S23 | Fill in the yellow cells from notebook 12's scoreboard | Synthetic program material</t>
  </si>
  <si>
    <t xml:space="preserve">Requests per month</t>
  </si>
  <si>
    <t xml:space="preserve">Default is the invented desk of the Day 1 cost model (300 a day x 22 days). Put in your spec section 7 number.</t>
  </si>
  <si>
    <t xml:space="preserve">Your bar: route right</t>
  </si>
  <si>
    <t xml:space="preserve">Your bar: cited right</t>
  </si>
  <si>
    <t xml:space="preserve">Your bar: complete</t>
  </si>
  <si>
    <t xml:space="preserve">Headroom multiplier for caps</t>
  </si>
  <si>
    <t xml:space="preserve">A starting point for the caps in block 3, not a program rule. Replace it with what your own runs justify.</t>
  </si>
  <si>
    <t xml:space="preserve">1. Four architectures, one job (six tickets)</t>
  </si>
  <si>
    <t xml:space="preserve">Architecture</t>
  </si>
  <si>
    <t xml:space="preserve">Who decides the next step</t>
  </si>
  <si>
    <t xml:space="preserve">Route right</t>
  </si>
  <si>
    <t xml:space="preserve">Cited right</t>
  </si>
  <si>
    <t xml:space="preserve">Complete</t>
  </si>
  <si>
    <t xml:space="preserve">Tool calls</t>
  </si>
  <si>
    <t xml:space="preserve">Model calls</t>
  </si>
  <si>
    <t xml:space="preserve">Tokens per run</t>
  </si>
  <si>
    <t xml:space="preserve">USD per 1,000 runs</t>
  </si>
  <si>
    <t xml:space="preserve">Seconds</t>
  </si>
  <si>
    <t xml:space="preserve">Paths (worst case)</t>
  </si>
  <si>
    <t xml:space="preserve">Tokens vs workflow (x)</t>
  </si>
  <si>
    <t xml:space="preserve">USD vs workflow (x)</t>
  </si>
  <si>
    <t xml:space="preserve">Seconds vs workflow (x)</t>
  </si>
  <si>
    <t xml:space="preserve">USD per month</t>
  </si>
  <si>
    <t xml:space="preserve">Passes all three bars?</t>
  </si>
  <si>
    <t xml:space="preserve">USD per 1,000 complete answers</t>
  </si>
  <si>
    <t xml:space="preserve">Workflow</t>
  </si>
  <si>
    <t xml:space="preserve">code</t>
  </si>
  <si>
    <t xml:space="preserve">Two-hop</t>
  </si>
  <si>
    <t xml:space="preserve">Hybrid</t>
  </si>
  <si>
    <t xml:space="preserve">code and model</t>
  </si>
  <si>
    <t xml:space="preserve">Agent</t>
  </si>
  <si>
    <t xml:space="preserve">model</t>
  </si>
  <si>
    <t xml:space="preserve">Rung is not the variable. If every architecture misses the same column, the problem is upstream of the loop.</t>
  </si>
  <si>
    <t xml:space="preserve">2. Who held the steps</t>
  </si>
  <si>
    <t xml:space="preserve">Steps decided by code</t>
  </si>
  <si>
    <t xml:space="preserve">Steps decided by the model</t>
  </si>
  <si>
    <t xml:space="preserve">Share decided by the model</t>
  </si>
  <si>
    <t xml:space="preserve">3. Three caps for the architecture you pick</t>
  </si>
  <si>
    <t xml:space="preserve">Cap</t>
  </si>
  <si>
    <t xml:space="preserve">Suggested value</t>
  </si>
  <si>
    <t xml:space="preserve">How it is worked out</t>
  </si>
  <si>
    <t xml:space="preserve">Steps (model calls)</t>
  </si>
  <si>
    <t xml:space="preserve">Average model calls in the run x the multiplier, rounded up</t>
  </si>
  <si>
    <t xml:space="preserve">Money per run (USD)</t>
  </si>
  <si>
    <t xml:space="preserve">USD per 1,000 runs / 1,000 x the multiplier</t>
  </si>
  <si>
    <t xml:space="preserve">Wall clock per run (seconds)</t>
  </si>
  <si>
    <t xml:space="preserve">Median seconds x the multiplier</t>
  </si>
  <si>
    <t xml:space="preserve">A workflow at rung 4 has no loop to cap, but the money and clock caps still apply. A cap chosen without measuring the job first is removed within a month by whoever is on call.</t>
  </si>
  <si>
    <t xml:space="preserve">4. The seven rungs</t>
  </si>
  <si>
    <t xml:space="preserve">Rung</t>
  </si>
  <si>
    <t xml:space="preserve">Name</t>
  </si>
  <si>
    <t xml:space="preserve">Who decides what happens next</t>
  </si>
  <si>
    <t xml:space="preserve">Calls per request</t>
  </si>
  <si>
    <t xml:space="preserve">One prompt</t>
  </si>
  <si>
    <t xml:space="preserve">you</t>
  </si>
  <si>
    <t xml:space="preserve">1</t>
  </si>
  <si>
    <t xml:space="preserve">Constrained call (schema, enum)</t>
  </si>
  <si>
    <t xml:space="preserve">Grounded call (retrieval in the prompt)</t>
  </si>
  <si>
    <t xml:space="preserve">1, plus retrieval</t>
  </si>
  <si>
    <t xml:space="preserve">Tool call, one hop</t>
  </si>
  <si>
    <t xml:space="preserve">you choose the moment, the model chooses the arguments</t>
  </si>
  <si>
    <t xml:space="preserve">2</t>
  </si>
  <si>
    <t xml:space="preserve">Workflow (fixed order, written by you)</t>
  </si>
  <si>
    <t xml:space="preserve">you, in code</t>
  </si>
  <si>
    <t xml:space="preserve">fixed and known</t>
  </si>
  <si>
    <t xml:space="preserve">Agent (the model runs its own loop)</t>
  </si>
  <si>
    <t xml:space="preserve">the model</t>
  </si>
  <si>
    <t xml:space="preserve">unbounded until you cap it</t>
  </si>
  <si>
    <t xml:space="preserve">Multiple agents</t>
  </si>
  <si>
    <t xml:space="preserve">the model, twice over</t>
  </si>
  <si>
    <t xml:space="preserve">worse than you think</t>
  </si>
  <si>
    <t xml:space="preserve">The line is between rung 4 and rung 5, and it is one question: who decides the next step.</t>
  </si>
  <si>
    <t xml:space="preserve">5. The four questions</t>
  </si>
  <si>
    <t xml:space="preserve">Question</t>
  </si>
  <si>
    <t xml:space="preserve">Your answer</t>
  </si>
  <si>
    <t xml:space="preserve">What the answer means</t>
  </si>
  <si>
    <t xml:space="preserve">1. Can I draw the flowchart?</t>
  </si>
  <si>
    <t xml:space="preserve">2. Does it need to act, or only to answer?</t>
  </si>
  <si>
    <t xml:space="preserve">3. If it is wrong, who finds out and when?</t>
  </si>
  <si>
    <t xml:space="preserve">4. How does it know it is finished?</t>
  </si>
  <si>
    <t xml:space="preserve">6. Three lines for the group</t>
  </si>
  <si>
    <t xml:space="preserve">Our rung, and the number that says so</t>
  </si>
  <si>
    <t xml:space="preserve">The column every architecture misses</t>
  </si>
  <si>
    <t xml:space="preserve">What would make us climb one rung</t>
  </si>
  <si>
    <t xml:space="preserve">Reference run: the program's saved run of notebook 12 (6 SGP tickets, gpt-4.1-mini). Synthetic program material</t>
  </si>
  <si>
    <t xml:space="preserve">8</t>
  </si>
  <si>
    <t xml:space="preserve">1 x up to 117,649</t>
  </si>
  <si>
    <t xml:space="preserve">up to 5,764,801</t>
  </si>
  <si>
    <t xml:space="preserve">yes</t>
  </si>
  <si>
    <t xml:space="preserve">answer only</t>
  </si>
  <si>
    <t xml:space="preserve">person, at once</t>
  </si>
  <si>
    <t xml:space="preserve">three caps written</t>
  </si>
  <si>
    <t xml:space="preserve">Rung 4, a workflow. Route right 0.83 and complete 0.83 are the same as the agent's, at about 28% of the tokens (3,056 against 10,809). The agent routed one more ticket of six (1.00 against 0.83).</t>
  </si>
  <si>
    <t xml:space="preserve">Cited right is 0.75 in three arms and 0.50 in the hybrid. SD-2026-0412 and SD-2026-0435 are cited 0.5 in every arm, so the problem is retrieval wearing an agent costume.</t>
  </si>
  <si>
    <t xml:space="preserve">A ticket whose next step cannot be listed in advance, with an end-to-end eval that shows the workflow failing it.</t>
  </si>
</sst>
</file>

<file path=xl/styles.xml><?xml version="1.0" encoding="utf-8"?>
<styleSheet xmlns="http://schemas.openxmlformats.org/spreadsheetml/2006/main">
  <numFmts count="11">
    <numFmt numFmtId="164" formatCode="General"/>
    <numFmt numFmtId="165" formatCode="#,##0"/>
    <numFmt numFmtId="166" formatCode="0.00"/>
    <numFmt numFmtId="167" formatCode="0.0"/>
    <numFmt numFmtId="168" formatCode="\$0.00"/>
    <numFmt numFmtId="169" formatCode="0.0\x"/>
    <numFmt numFmtId="170" formatCode="\$#,##0.00"/>
    <numFmt numFmtId="171" formatCode="General"/>
    <numFmt numFmtId="172" formatCode="0%"/>
    <numFmt numFmtId="173" formatCode="0"/>
    <numFmt numFmtId="174" formatCode="\$0.0000"/>
  </numFmts>
  <fonts count="10">
    <font>
      <sz val="11"/>
      <color theme="1"/>
      <name val="Calibri"/>
      <family val="2"/>
      <charset val="1"/>
    </font>
    <font>
      <sz val="10"/>
      <name val="Arial"/>
      <family val="0"/>
    </font>
    <font>
      <sz val="10"/>
      <name val="Arial"/>
      <family val="0"/>
    </font>
    <font>
      <sz val="10"/>
      <name val="Arial"/>
      <family val="0"/>
    </font>
    <font>
      <b val="true"/>
      <sz val="16"/>
      <color rgb="FF1C1C6B"/>
      <name val="Arial"/>
      <family val="0"/>
      <charset val="1"/>
    </font>
    <font>
      <sz val="10"/>
      <color rgb="FF555555"/>
      <name val="Arial"/>
      <family val="0"/>
      <charset val="1"/>
    </font>
    <font>
      <b val="true"/>
      <sz val="10"/>
      <color rgb="FF000000"/>
      <name val="Arial"/>
      <family val="0"/>
      <charset val="1"/>
    </font>
    <font>
      <sz val="10"/>
      <color rgb="FF000000"/>
      <name val="Arial"/>
      <family val="0"/>
      <charset val="1"/>
    </font>
    <font>
      <b val="true"/>
      <sz val="11"/>
      <color rgb="FF1C1C6B"/>
      <name val="Arial"/>
      <family val="0"/>
      <charset val="1"/>
    </font>
    <font>
      <b val="true"/>
      <sz val="10"/>
      <color rgb="FFFFFFFF"/>
      <name val="Arial"/>
      <family val="0"/>
      <charset val="1"/>
    </font>
  </fonts>
  <fills count="4">
    <fill>
      <patternFill patternType="none"/>
    </fill>
    <fill>
      <patternFill patternType="gray125"/>
    </fill>
    <fill>
      <patternFill patternType="solid">
        <fgColor rgb="FFFFF2CC"/>
        <bgColor rgb="FFFFFFFF"/>
      </patternFill>
    </fill>
    <fill>
      <patternFill patternType="solid">
        <fgColor rgb="FF1C1C6B"/>
        <bgColor rgb="FF33339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5" fontId="7" fillId="2" borderId="1" xfId="0" applyFont="true" applyBorder="true" applyAlignment="true" applyProtection="false">
      <alignment horizontal="general" vertical="top" textRotation="0" wrapText="true" indent="0" shrinkToFit="false"/>
      <protection locked="true" hidden="false"/>
    </xf>
    <xf numFmtId="166" fontId="7" fillId="2" borderId="1" xfId="0" applyFont="true" applyBorder="true" applyAlignment="true" applyProtection="false">
      <alignment horizontal="general" vertical="top" textRotation="0" wrapText="true" indent="0" shrinkToFit="false"/>
      <protection locked="true" hidden="false"/>
    </xf>
    <xf numFmtId="167" fontId="7" fillId="2"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8" fontId="7" fillId="2" borderId="1" xfId="0" applyFont="true" applyBorder="true" applyAlignment="true" applyProtection="false">
      <alignment horizontal="general" vertical="top" textRotation="0" wrapText="true" indent="0" shrinkToFit="false"/>
      <protection locked="true" hidden="false"/>
    </xf>
    <xf numFmtId="169" fontId="7" fillId="0" borderId="1" xfId="0" applyFont="true" applyBorder="true" applyAlignment="true" applyProtection="false">
      <alignment horizontal="general" vertical="top" textRotation="0" wrapText="true" indent="0" shrinkToFit="false"/>
      <protection locked="true" hidden="false"/>
    </xf>
    <xf numFmtId="170" fontId="7" fillId="0" borderId="1" xfId="0" applyFont="true" applyBorder="true" applyAlignment="true" applyProtection="false">
      <alignment horizontal="general" vertical="top" textRotation="0" wrapText="true" indent="0" shrinkToFit="false"/>
      <protection locked="true" hidden="false"/>
    </xf>
    <xf numFmtId="171" fontId="7" fillId="0" borderId="1" xfId="0" applyFont="true" applyBorder="true" applyAlignment="true" applyProtection="false">
      <alignment horizontal="general" vertical="top" textRotation="0" wrapText="true" indent="0" shrinkToFit="false"/>
      <protection locked="true" hidden="false"/>
    </xf>
    <xf numFmtId="168" fontId="7" fillId="0" borderId="1" xfId="0" applyFont="true" applyBorder="true" applyAlignment="true" applyProtection="false">
      <alignment horizontal="general" vertical="top" textRotation="0" wrapText="true" indent="0" shrinkToFit="false"/>
      <protection locked="true" hidden="false"/>
    </xf>
    <xf numFmtId="172" fontId="7" fillId="0" borderId="1" xfId="0" applyFont="true" applyBorder="true" applyAlignment="true" applyProtection="false">
      <alignment horizontal="general" vertical="top" textRotation="0" wrapText="true" indent="0" shrinkToFit="false"/>
      <protection locked="true" hidden="false"/>
    </xf>
    <xf numFmtId="173" fontId="7"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74" fontId="7" fillId="0"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D9EAD3"/>
        </patternFill>
      </fill>
    </dxf>
    <dxf>
      <fill>
        <patternFill>
          <b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8D7DA"/>
      <rgbColor rgb="FF3366FF"/>
      <rgbColor rgb="FF33CCCC"/>
      <rgbColor rgb="FF99CC00"/>
      <rgbColor rgb="FFFFCC00"/>
      <rgbColor rgb="FFFF9900"/>
      <rgbColor rgb="FFFF6600"/>
      <rgbColor rgb="FF555555"/>
      <rgbColor rgb="FF969696"/>
      <rgbColor rgb="FF1C1C6B"/>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10"/>
  </cols>
  <sheetData>
    <row r="1" customFormat="false" ht="19.5" hidden="false" customHeight="true" outlineLevel="0" collapsed="false">
      <c r="A1" s="2" t="s">
        <v>0</v>
      </c>
    </row>
    <row r="2" customFormat="false" ht="15" hidden="false" customHeight="true" outlineLevel="0" collapsed="false">
      <c r="A2" s="3" t="s">
        <v>1</v>
      </c>
    </row>
    <row r="4" customFormat="false" ht="30.75" hidden="false" customHeight="true" outlineLevel="0" collapsed="false">
      <c r="A4" s="4" t="s">
        <v>2</v>
      </c>
      <c r="B4" s="5" t="s">
        <v>3</v>
      </c>
    </row>
    <row r="5" customFormat="false" ht="17.25" hidden="false" customHeight="true" outlineLevel="0" collapsed="false">
      <c r="A5" s="4" t="s">
        <v>4</v>
      </c>
      <c r="B5" s="5" t="s">
        <v>5</v>
      </c>
    </row>
    <row r="6" customFormat="false" ht="30.75" hidden="false" customHeight="true" outlineLevel="0" collapsed="false">
      <c r="A6" s="4" t="s">
        <v>6</v>
      </c>
      <c r="B6" s="5" t="s">
        <v>7</v>
      </c>
    </row>
    <row r="7" customFormat="false" ht="30.75" hidden="false" customHeight="true" outlineLevel="0" collapsed="false">
      <c r="A7" s="4" t="s">
        <v>8</v>
      </c>
      <c r="B7" s="5" t="s">
        <v>9</v>
      </c>
    </row>
    <row r="8" customFormat="false" ht="17.25" hidden="false" customHeight="true" outlineLevel="0" collapsed="false">
      <c r="A8" s="4" t="s">
        <v>10</v>
      </c>
      <c r="B8" s="5" t="s">
        <v>11</v>
      </c>
    </row>
    <row r="9" customFormat="false" ht="17.25" hidden="false" customHeight="true" outlineLevel="0" collapsed="false">
      <c r="A9" s="4" t="s">
        <v>12</v>
      </c>
      <c r="B9" s="5" t="s">
        <v>13</v>
      </c>
    </row>
    <row r="10" customFormat="false" ht="30.75" hidden="false" customHeight="true" outlineLevel="0" collapsed="false">
      <c r="A10" s="4" t="s">
        <v>14</v>
      </c>
      <c r="B10" s="5" t="s">
        <v>15</v>
      </c>
    </row>
    <row r="11" customFormat="false" ht="30.75" hidden="false" customHeight="true" outlineLevel="0" collapsed="false">
      <c r="A11" s="4" t="s">
        <v>16</v>
      </c>
      <c r="B11" s="5" t="s">
        <v>17</v>
      </c>
    </row>
    <row r="12" customFormat="false" ht="30.75" hidden="false" customHeight="true" outlineLevel="0" collapsed="false">
      <c r="A12" s="4" t="s">
        <v>18</v>
      </c>
      <c r="B12" s="5" t="s">
        <v>19</v>
      </c>
    </row>
    <row r="13" customFormat="false" ht="17.25" hidden="false" customHeight="true" outlineLevel="0" collapsed="false">
      <c r="A13" s="4" t="s">
        <v>20</v>
      </c>
      <c r="B13" s="5" t="s">
        <v>21</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6"/>
    <col collapsed="false" customWidth="true" hidden="false" outlineLevel="0" max="7" min="3" style="1" width="11"/>
    <col collapsed="false" customWidth="true" hidden="false" outlineLevel="0" max="8" min="8" style="1" width="12"/>
    <col collapsed="false" customWidth="true" hidden="false" outlineLevel="0" max="9" min="9" style="1" width="13"/>
    <col collapsed="false" customWidth="true" hidden="false" outlineLevel="0" max="10" min="10" style="1" width="11"/>
    <col collapsed="false" customWidth="true" hidden="false" outlineLevel="0" max="11" min="11" style="1" width="19"/>
    <col collapsed="false" customWidth="true" hidden="false" outlineLevel="0" max="14" min="12" style="1" width="13"/>
    <col collapsed="false" customWidth="true" hidden="false" outlineLevel="0" max="16" min="15" style="1" width="14"/>
    <col collapsed="false" customWidth="true" hidden="false" outlineLevel="0" max="17" min="17" style="1" width="16"/>
  </cols>
  <sheetData>
    <row r="1" customFormat="false" ht="19.5" hidden="false" customHeight="true" outlineLevel="0" collapsed="false">
      <c r="A1" s="2" t="s">
        <v>22</v>
      </c>
    </row>
    <row r="2" customFormat="false" ht="15" hidden="false" customHeight="true" outlineLevel="0" collapsed="false">
      <c r="A2" s="3" t="s">
        <v>23</v>
      </c>
    </row>
    <row r="4" customFormat="false" ht="17.25" hidden="false" customHeight="true" outlineLevel="0" collapsed="false">
      <c r="A4" s="4" t="s">
        <v>24</v>
      </c>
      <c r="B4" s="6" t="n">
        <v>6600</v>
      </c>
      <c r="C4" s="3" t="s">
        <v>25</v>
      </c>
    </row>
    <row r="5" customFormat="false" ht="17.25" hidden="false" customHeight="true" outlineLevel="0" collapsed="false">
      <c r="A5" s="4" t="s">
        <v>26</v>
      </c>
      <c r="B5" s="7" t="n">
        <v>0.8</v>
      </c>
    </row>
    <row r="6" customFormat="false" ht="17.25" hidden="false" customHeight="true" outlineLevel="0" collapsed="false">
      <c r="A6" s="4" t="s">
        <v>27</v>
      </c>
      <c r="B6" s="7" t="n">
        <v>0.8</v>
      </c>
    </row>
    <row r="7" customFormat="false" ht="17.25" hidden="false" customHeight="true" outlineLevel="0" collapsed="false">
      <c r="A7" s="4" t="s">
        <v>28</v>
      </c>
      <c r="B7" s="7" t="n">
        <v>0.8</v>
      </c>
    </row>
    <row r="8" customFormat="false" ht="30.75" hidden="false" customHeight="true" outlineLevel="0" collapsed="false">
      <c r="A8" s="4" t="s">
        <v>29</v>
      </c>
      <c r="B8" s="8" t="n">
        <v>2</v>
      </c>
      <c r="C8" s="3" t="s">
        <v>30</v>
      </c>
    </row>
    <row r="10" customFormat="false" ht="15" hidden="false" customHeight="true" outlineLevel="0" collapsed="false">
      <c r="A10" s="9" t="s">
        <v>31</v>
      </c>
    </row>
    <row r="11" customFormat="false" ht="31.5" hidden="false" customHeight="true" outlineLevel="0" collapsed="false">
      <c r="A11" s="10" t="s">
        <v>32</v>
      </c>
      <c r="B11" s="10" t="s">
        <v>33</v>
      </c>
      <c r="C11" s="10" t="s">
        <v>34</v>
      </c>
      <c r="D11" s="10" t="s">
        <v>35</v>
      </c>
      <c r="E11" s="10" t="s">
        <v>36</v>
      </c>
      <c r="F11" s="10" t="s">
        <v>37</v>
      </c>
      <c r="G11" s="10" t="s">
        <v>38</v>
      </c>
      <c r="H11" s="10" t="s">
        <v>39</v>
      </c>
      <c r="I11" s="10" t="s">
        <v>40</v>
      </c>
      <c r="J11" s="10" t="s">
        <v>41</v>
      </c>
      <c r="K11" s="10" t="s">
        <v>42</v>
      </c>
      <c r="L11" s="10" t="s">
        <v>43</v>
      </c>
      <c r="M11" s="10" t="s">
        <v>44</v>
      </c>
      <c r="N11" s="10" t="s">
        <v>45</v>
      </c>
      <c r="O11" s="10" t="s">
        <v>46</v>
      </c>
      <c r="P11" s="10" t="s">
        <v>47</v>
      </c>
      <c r="Q11" s="10" t="s">
        <v>48</v>
      </c>
    </row>
    <row r="12" customFormat="false" ht="27.75" hidden="false" customHeight="true" outlineLevel="0" collapsed="false">
      <c r="A12" s="11" t="s">
        <v>49</v>
      </c>
      <c r="B12" s="12" t="s">
        <v>50</v>
      </c>
      <c r="C12" s="7"/>
      <c r="D12" s="7"/>
      <c r="E12" s="7"/>
      <c r="F12" s="7"/>
      <c r="G12" s="7"/>
      <c r="H12" s="6"/>
      <c r="I12" s="13"/>
      <c r="J12" s="7"/>
      <c r="K12" s="12"/>
      <c r="L12" s="14" t="str">
        <f aca="false">IF(OR(H12="",$H$12=""),"",H12/$H$12)</f>
        <v/>
      </c>
      <c r="M12" s="14" t="str">
        <f aca="false">IF(OR(I12="",$I$12=""),"",I12/$I$12)</f>
        <v/>
      </c>
      <c r="N12" s="14" t="str">
        <f aca="false">IF(OR(J12="",$J$12=""),"",J12/$J$12)</f>
        <v/>
      </c>
      <c r="O12" s="15" t="str">
        <f aca="false">IF(OR(I12="",$B$4=""),"",I12*$B$4/1000)</f>
        <v/>
      </c>
      <c r="P12" s="16" t="str">
        <f aca="false">IF(OR(C12="",D12="",E12=""),"",IF(AND(C12&gt;=$B$5,D12&gt;=$B$6,E12&gt;=$B$7),"yes","no"))</f>
        <v/>
      </c>
      <c r="Q12" s="17" t="str">
        <f aca="false">IF(OR(I12="",E12="",E12=0),"",I12/E12)</f>
        <v/>
      </c>
    </row>
    <row r="13" customFormat="false" ht="27.75" hidden="false" customHeight="true" outlineLevel="0" collapsed="false">
      <c r="A13" s="11" t="s">
        <v>51</v>
      </c>
      <c r="B13" s="12" t="s">
        <v>50</v>
      </c>
      <c r="C13" s="7"/>
      <c r="D13" s="7"/>
      <c r="E13" s="7"/>
      <c r="F13" s="7"/>
      <c r="G13" s="7"/>
      <c r="H13" s="6"/>
      <c r="I13" s="13"/>
      <c r="J13" s="7"/>
      <c r="K13" s="12"/>
      <c r="L13" s="14" t="str">
        <f aca="false">IF(OR(H13="",$H$12=""),"",H13/$H$12)</f>
        <v/>
      </c>
      <c r="M13" s="14" t="str">
        <f aca="false">IF(OR(I13="",$I$12=""),"",I13/$I$12)</f>
        <v/>
      </c>
      <c r="N13" s="14" t="str">
        <f aca="false">IF(OR(J13="",$J$12=""),"",J13/$J$12)</f>
        <v/>
      </c>
      <c r="O13" s="15" t="str">
        <f aca="false">IF(OR(I13="",$B$4=""),"",I13*$B$4/1000)</f>
        <v/>
      </c>
      <c r="P13" s="16" t="str">
        <f aca="false">IF(OR(C13="",D13="",E13=""),"",IF(AND(C13&gt;=$B$5,D13&gt;=$B$6,E13&gt;=$B$7),"yes","no"))</f>
        <v/>
      </c>
      <c r="Q13" s="17" t="str">
        <f aca="false">IF(OR(I13="",E13="",E13=0),"",I13/E13)</f>
        <v/>
      </c>
    </row>
    <row r="14" customFormat="false" ht="27.75" hidden="false" customHeight="true" outlineLevel="0" collapsed="false">
      <c r="A14" s="11" t="s">
        <v>52</v>
      </c>
      <c r="B14" s="12" t="s">
        <v>53</v>
      </c>
      <c r="C14" s="7"/>
      <c r="D14" s="7"/>
      <c r="E14" s="7"/>
      <c r="F14" s="7"/>
      <c r="G14" s="7"/>
      <c r="H14" s="6"/>
      <c r="I14" s="13"/>
      <c r="J14" s="7"/>
      <c r="K14" s="12"/>
      <c r="L14" s="14" t="str">
        <f aca="false">IF(OR(H14="",$H$12=""),"",H14/$H$12)</f>
        <v/>
      </c>
      <c r="M14" s="14" t="str">
        <f aca="false">IF(OR(I14="",$I$12=""),"",I14/$I$12)</f>
        <v/>
      </c>
      <c r="N14" s="14" t="str">
        <f aca="false">IF(OR(J14="",$J$12=""),"",J14/$J$12)</f>
        <v/>
      </c>
      <c r="O14" s="15" t="str">
        <f aca="false">IF(OR(I14="",$B$4=""),"",I14*$B$4/1000)</f>
        <v/>
      </c>
      <c r="P14" s="16" t="str">
        <f aca="false">IF(OR(C14="",D14="",E14=""),"",IF(AND(C14&gt;=$B$5,D14&gt;=$B$6,E14&gt;=$B$7),"yes","no"))</f>
        <v/>
      </c>
      <c r="Q14" s="17" t="str">
        <f aca="false">IF(OR(I14="",E14="",E14=0),"",I14/E14)</f>
        <v/>
      </c>
    </row>
    <row r="15" customFormat="false" ht="27.75" hidden="false" customHeight="true" outlineLevel="0" collapsed="false">
      <c r="A15" s="11" t="s">
        <v>54</v>
      </c>
      <c r="B15" s="12" t="s">
        <v>55</v>
      </c>
      <c r="C15" s="7"/>
      <c r="D15" s="7"/>
      <c r="E15" s="7"/>
      <c r="F15" s="7"/>
      <c r="G15" s="7"/>
      <c r="H15" s="6"/>
      <c r="I15" s="13"/>
      <c r="J15" s="7"/>
      <c r="K15" s="12"/>
      <c r="L15" s="14" t="str">
        <f aca="false">IF(OR(H15="",$H$12=""),"",H15/$H$12)</f>
        <v/>
      </c>
      <c r="M15" s="14" t="str">
        <f aca="false">IF(OR(I15="",$I$12=""),"",I15/$I$12)</f>
        <v/>
      </c>
      <c r="N15" s="14" t="str">
        <f aca="false">IF(OR(J15="",$J$12=""),"",J15/$J$12)</f>
        <v/>
      </c>
      <c r="O15" s="15" t="str">
        <f aca="false">IF(OR(I15="",$B$4=""),"",I15*$B$4/1000)</f>
        <v/>
      </c>
      <c r="P15" s="16" t="str">
        <f aca="false">IF(OR(C15="",D15="",E15=""),"",IF(AND(C15&gt;=$B$5,D15&gt;=$B$6,E15&gt;=$B$7),"yes","no"))</f>
        <v/>
      </c>
      <c r="Q15" s="17" t="str">
        <f aca="false">IF(OR(I15="",E15="",E15=0),"",I15/E15)</f>
        <v/>
      </c>
    </row>
    <row r="16" customFormat="false" ht="15" hidden="false" customHeight="true" outlineLevel="0" collapsed="false">
      <c r="A16" s="3" t="s">
        <v>56</v>
      </c>
    </row>
    <row r="18" customFormat="false" ht="15" hidden="false" customHeight="true" outlineLevel="0" collapsed="false">
      <c r="A18" s="9" t="s">
        <v>57</v>
      </c>
    </row>
    <row r="19" customFormat="false" ht="43.5" hidden="false" customHeight="true" outlineLevel="0" collapsed="false">
      <c r="A19" s="10" t="s">
        <v>32</v>
      </c>
      <c r="B19" s="10" t="s">
        <v>58</v>
      </c>
      <c r="C19" s="10" t="s">
        <v>59</v>
      </c>
      <c r="D19" s="10" t="s">
        <v>60</v>
      </c>
    </row>
    <row r="20" customFormat="false" ht="15" hidden="false" customHeight="true" outlineLevel="0" collapsed="false">
      <c r="A20" s="11" t="str">
        <f aca="false">A12</f>
        <v>Workflow</v>
      </c>
      <c r="B20" s="7"/>
      <c r="C20" s="7"/>
      <c r="D20" s="18" t="str">
        <f aca="false">IF(OR(B20="",C20=""),"",IF(B20+C20=0,"",C20/(B20+C20)))</f>
        <v/>
      </c>
    </row>
    <row r="21" customFormat="false" ht="15" hidden="false" customHeight="true" outlineLevel="0" collapsed="false">
      <c r="A21" s="11" t="str">
        <f aca="false">A13</f>
        <v>Two-hop</v>
      </c>
      <c r="B21" s="7"/>
      <c r="C21" s="7"/>
      <c r="D21" s="18" t="str">
        <f aca="false">IF(OR(B21="",C21=""),"",IF(B21+C21=0,"",C21/(B21+C21)))</f>
        <v/>
      </c>
    </row>
    <row r="22" customFormat="false" ht="15" hidden="false" customHeight="true" outlineLevel="0" collapsed="false">
      <c r="A22" s="11" t="str">
        <f aca="false">A14</f>
        <v>Hybrid</v>
      </c>
      <c r="B22" s="7"/>
      <c r="C22" s="7"/>
      <c r="D22" s="18" t="str">
        <f aca="false">IF(OR(B22="",C22=""),"",IF(B22+C22=0,"",C22/(B22+C22)))</f>
        <v/>
      </c>
    </row>
    <row r="23" customFormat="false" ht="15" hidden="false" customHeight="true" outlineLevel="0" collapsed="false">
      <c r="A23" s="11" t="str">
        <f aca="false">A15</f>
        <v>Agent</v>
      </c>
      <c r="B23" s="7"/>
      <c r="C23" s="7"/>
      <c r="D23" s="18" t="str">
        <f aca="false">IF(OR(B23="",C23=""),"",IF(B23+C23=0,"",C23/(B23+C23)))</f>
        <v/>
      </c>
    </row>
    <row r="25" customFormat="false" ht="15" hidden="false" customHeight="true" outlineLevel="0" collapsed="false">
      <c r="A25" s="9" t="s">
        <v>61</v>
      </c>
    </row>
    <row r="26" customFormat="false" ht="17.25" hidden="false" customHeight="true" outlineLevel="0" collapsed="false">
      <c r="A26" s="4" t="s">
        <v>32</v>
      </c>
      <c r="B26" s="12"/>
    </row>
    <row r="27" customFormat="false" ht="31.5" hidden="false" customHeight="true" outlineLevel="0" collapsed="false">
      <c r="A27" s="10" t="s">
        <v>62</v>
      </c>
      <c r="B27" s="10" t="s">
        <v>63</v>
      </c>
      <c r="C27" s="10" t="s">
        <v>64</v>
      </c>
      <c r="D27" s="10"/>
      <c r="E27" s="10"/>
      <c r="F27" s="10"/>
      <c r="G27" s="10"/>
      <c r="H27" s="10"/>
    </row>
    <row r="28" customFormat="false" ht="17.25" hidden="false" customHeight="true" outlineLevel="0" collapsed="false">
      <c r="A28" s="11" t="s">
        <v>65</v>
      </c>
      <c r="B28" s="19" t="str">
        <f aca="false">IFERROR(ROUNDUP(INDEX($G$12:$G$15,MATCH($B$26,$A$12:$A$15,0))*$B$8,0),"")</f>
        <v/>
      </c>
      <c r="C28" s="20" t="s">
        <v>66</v>
      </c>
      <c r="D28" s="20"/>
      <c r="E28" s="20"/>
      <c r="F28" s="20"/>
      <c r="G28" s="20"/>
      <c r="H28" s="20"/>
    </row>
    <row r="29" customFormat="false" ht="17.25" hidden="false" customHeight="true" outlineLevel="0" collapsed="false">
      <c r="A29" s="11" t="s">
        <v>67</v>
      </c>
      <c r="B29" s="21" t="str">
        <f aca="false">IFERROR(INDEX($I$12:$I$15,MATCH($B$26,$A$12:$A$15,0))/1000*$B$8,"")</f>
        <v/>
      </c>
      <c r="C29" s="20" t="s">
        <v>68</v>
      </c>
      <c r="D29" s="20"/>
      <c r="E29" s="20"/>
      <c r="F29" s="20"/>
      <c r="G29" s="20"/>
      <c r="H29" s="20"/>
    </row>
    <row r="30" customFormat="false" ht="30.75" hidden="false" customHeight="true" outlineLevel="0" collapsed="false">
      <c r="A30" s="11" t="s">
        <v>69</v>
      </c>
      <c r="B30" s="22" t="str">
        <f aca="false">IFERROR(INDEX($J$12:$J$15,MATCH($B$26,$A$12:$A$15,0))*$B$8,"")</f>
        <v/>
      </c>
      <c r="C30" s="20" t="s">
        <v>70</v>
      </c>
      <c r="D30" s="20"/>
      <c r="E30" s="20"/>
      <c r="F30" s="20"/>
      <c r="G30" s="20"/>
      <c r="H30" s="20"/>
    </row>
    <row r="31" customFormat="false" ht="15" hidden="false" customHeight="true" outlineLevel="0" collapsed="false">
      <c r="A31" s="3" t="s">
        <v>71</v>
      </c>
    </row>
    <row r="33" customFormat="false" ht="15" hidden="false" customHeight="true" outlineLevel="0" collapsed="false">
      <c r="A33" s="9" t="s">
        <v>72</v>
      </c>
    </row>
    <row r="34" customFormat="false" ht="31.5" hidden="false" customHeight="true" outlineLevel="0" collapsed="false">
      <c r="A34" s="10" t="s">
        <v>73</v>
      </c>
      <c r="B34" s="10" t="s">
        <v>74</v>
      </c>
      <c r="C34" s="10"/>
      <c r="D34" s="10"/>
      <c r="E34" s="10" t="s">
        <v>75</v>
      </c>
      <c r="F34" s="10"/>
      <c r="G34" s="10"/>
      <c r="H34" s="10" t="s">
        <v>76</v>
      </c>
    </row>
    <row r="35" customFormat="false" ht="27.75" hidden="false" customHeight="true" outlineLevel="0" collapsed="false">
      <c r="A35" s="11" t="n">
        <v>0</v>
      </c>
      <c r="B35" s="23" t="s">
        <v>77</v>
      </c>
      <c r="C35" s="23"/>
      <c r="D35" s="23"/>
      <c r="E35" s="23" t="s">
        <v>78</v>
      </c>
      <c r="F35" s="23"/>
      <c r="G35" s="23"/>
      <c r="H35" s="23" t="s">
        <v>79</v>
      </c>
    </row>
    <row r="36" customFormat="false" ht="27.75" hidden="false" customHeight="true" outlineLevel="0" collapsed="false">
      <c r="A36" s="11" t="n">
        <v>1</v>
      </c>
      <c r="B36" s="23" t="s">
        <v>80</v>
      </c>
      <c r="C36" s="23"/>
      <c r="D36" s="23"/>
      <c r="E36" s="23" t="s">
        <v>78</v>
      </c>
      <c r="F36" s="23"/>
      <c r="G36" s="23"/>
      <c r="H36" s="23" t="s">
        <v>79</v>
      </c>
    </row>
    <row r="37" customFormat="false" ht="30.75" hidden="false" customHeight="true" outlineLevel="0" collapsed="false">
      <c r="A37" s="11" t="n">
        <v>2</v>
      </c>
      <c r="B37" s="23" t="s">
        <v>81</v>
      </c>
      <c r="C37" s="23"/>
      <c r="D37" s="23"/>
      <c r="E37" s="23" t="s">
        <v>78</v>
      </c>
      <c r="F37" s="23"/>
      <c r="G37" s="23"/>
      <c r="H37" s="23" t="s">
        <v>82</v>
      </c>
    </row>
    <row r="38" customFormat="false" ht="30.75" hidden="false" customHeight="true" outlineLevel="0" collapsed="false">
      <c r="A38" s="11" t="n">
        <v>3</v>
      </c>
      <c r="B38" s="23" t="s">
        <v>83</v>
      </c>
      <c r="C38" s="23"/>
      <c r="D38" s="23"/>
      <c r="E38" s="23" t="s">
        <v>84</v>
      </c>
      <c r="F38" s="23"/>
      <c r="G38" s="23"/>
      <c r="H38" s="23" t="s">
        <v>85</v>
      </c>
    </row>
    <row r="39" customFormat="false" ht="30.75" hidden="false" customHeight="true" outlineLevel="0" collapsed="false">
      <c r="A39" s="11" t="n">
        <v>4</v>
      </c>
      <c r="B39" s="23" t="s">
        <v>86</v>
      </c>
      <c r="C39" s="23"/>
      <c r="D39" s="23"/>
      <c r="E39" s="23" t="s">
        <v>87</v>
      </c>
      <c r="F39" s="23"/>
      <c r="G39" s="23"/>
      <c r="H39" s="23" t="s">
        <v>88</v>
      </c>
    </row>
    <row r="40" customFormat="false" ht="43.5" hidden="false" customHeight="true" outlineLevel="0" collapsed="false">
      <c r="A40" s="11" t="n">
        <v>5</v>
      </c>
      <c r="B40" s="23" t="s">
        <v>89</v>
      </c>
      <c r="C40" s="23"/>
      <c r="D40" s="23"/>
      <c r="E40" s="23" t="s">
        <v>90</v>
      </c>
      <c r="F40" s="23"/>
      <c r="G40" s="23"/>
      <c r="H40" s="23" t="s">
        <v>91</v>
      </c>
    </row>
    <row r="41" customFormat="false" ht="30.75" hidden="false" customHeight="true" outlineLevel="0" collapsed="false">
      <c r="A41" s="11" t="n">
        <v>6</v>
      </c>
      <c r="B41" s="23" t="s">
        <v>92</v>
      </c>
      <c r="C41" s="23"/>
      <c r="D41" s="23"/>
      <c r="E41" s="23" t="s">
        <v>93</v>
      </c>
      <c r="F41" s="23"/>
      <c r="G41" s="23"/>
      <c r="H41" s="23" t="s">
        <v>94</v>
      </c>
    </row>
    <row r="42" customFormat="false" ht="15" hidden="false" customHeight="true" outlineLevel="0" collapsed="false">
      <c r="A42" s="3" t="s">
        <v>95</v>
      </c>
    </row>
    <row r="44" customFormat="false" ht="15" hidden="false" customHeight="true" outlineLevel="0" collapsed="false">
      <c r="A44" s="9" t="s">
        <v>96</v>
      </c>
    </row>
    <row r="45" customFormat="false" ht="31.5" hidden="false" customHeight="true" outlineLevel="0" collapsed="false">
      <c r="A45" s="10" t="s">
        <v>97</v>
      </c>
      <c r="B45" s="10"/>
      <c r="C45" s="10"/>
      <c r="D45" s="10" t="s">
        <v>98</v>
      </c>
      <c r="E45" s="10"/>
      <c r="F45" s="10" t="s">
        <v>99</v>
      </c>
      <c r="G45" s="10"/>
      <c r="H45" s="10"/>
      <c r="I45" s="10"/>
      <c r="J45" s="10"/>
      <c r="K45" s="10"/>
    </row>
    <row r="46" customFormat="false" ht="17.25" hidden="false" customHeight="true" outlineLevel="0" collapsed="false">
      <c r="A46" s="11" t="s">
        <v>100</v>
      </c>
      <c r="B46" s="11"/>
      <c r="C46" s="11"/>
      <c r="D46" s="12"/>
      <c r="E46" s="12"/>
      <c r="F46" s="16" t="str">
        <f aca="false">IF(D46="","",IF(D46="yes","Rung 4. Write the workflow.","Rung 5: the branches depend on what is found. Write three caps first."))</f>
        <v/>
      </c>
      <c r="G46" s="16"/>
      <c r="H46" s="16"/>
      <c r="I46" s="16"/>
      <c r="J46" s="16"/>
      <c r="K46" s="16"/>
    </row>
    <row r="47" customFormat="false" ht="17.25" hidden="false" customHeight="true" outlineLevel="0" collapsed="false">
      <c r="A47" s="11" t="s">
        <v>101</v>
      </c>
      <c r="B47" s="11"/>
      <c r="C47" s="11"/>
      <c r="D47" s="12"/>
      <c r="E47" s="12"/>
      <c r="F47" s="16" t="str">
        <f aca="false">IF(D47="","",IF(D47="act","The gate question. That is S24.","Nothing writes, and the review burden drops."))</f>
        <v/>
      </c>
      <c r="G47" s="16"/>
      <c r="H47" s="16"/>
      <c r="I47" s="16"/>
      <c r="J47" s="16"/>
      <c r="K47" s="16"/>
    </row>
    <row r="48" customFormat="false" ht="17.25" hidden="false" customHeight="true" outlineLevel="0" collapsed="false">
      <c r="A48" s="11" t="s">
        <v>102</v>
      </c>
      <c r="B48" s="11"/>
      <c r="C48" s="11"/>
      <c r="D48" s="12"/>
      <c r="E48" s="12"/>
      <c r="F48" s="16" t="str">
        <f aca="false">IF(D48="","",IF(D48="person, at once","You can afford more autonomy.","You can afford much less. This sets your rung ceiling."))</f>
        <v/>
      </c>
      <c r="G48" s="16"/>
      <c r="H48" s="16"/>
      <c r="I48" s="16"/>
      <c r="J48" s="16"/>
      <c r="K48" s="16"/>
    </row>
    <row r="49" customFormat="false" ht="17.25" hidden="false" customHeight="true" outlineLevel="0" collapsed="false">
      <c r="A49" s="11" t="s">
        <v>103</v>
      </c>
      <c r="B49" s="11"/>
      <c r="C49" s="11"/>
      <c r="D49" s="12"/>
      <c r="E49" s="12"/>
      <c r="F49" s="16" t="str">
        <f aca="false">IF(D49="","",IF(D49="three caps written","Termination is a number.","No termination condition. That is not a design yet."))</f>
        <v/>
      </c>
      <c r="G49" s="16"/>
      <c r="H49" s="16"/>
      <c r="I49" s="16"/>
      <c r="J49" s="16"/>
      <c r="K49" s="16"/>
    </row>
    <row r="51" customFormat="false" ht="15" hidden="false" customHeight="true" outlineLevel="0" collapsed="false">
      <c r="A51" s="9" t="s">
        <v>104</v>
      </c>
    </row>
    <row r="52" customFormat="false" ht="45.75" hidden="false" customHeight="true" outlineLevel="0" collapsed="false">
      <c r="A52" s="11" t="s">
        <v>105</v>
      </c>
      <c r="B52" s="11"/>
      <c r="C52" s="11"/>
      <c r="D52" s="12"/>
      <c r="E52" s="12"/>
      <c r="F52" s="12"/>
      <c r="G52" s="12"/>
      <c r="H52" s="12"/>
      <c r="I52" s="12"/>
      <c r="J52" s="12"/>
      <c r="K52" s="12"/>
    </row>
    <row r="53" customFormat="false" ht="45.75" hidden="false" customHeight="true" outlineLevel="0" collapsed="false">
      <c r="A53" s="11" t="s">
        <v>106</v>
      </c>
      <c r="B53" s="11"/>
      <c r="C53" s="11"/>
      <c r="D53" s="12"/>
      <c r="E53" s="12"/>
      <c r="F53" s="12"/>
      <c r="G53" s="12"/>
      <c r="H53" s="12"/>
      <c r="I53" s="12"/>
      <c r="J53" s="12"/>
      <c r="K53" s="12"/>
    </row>
    <row r="54" customFormat="false" ht="45.75" hidden="false" customHeight="true" outlineLevel="0" collapsed="false">
      <c r="A54" s="11" t="s">
        <v>107</v>
      </c>
      <c r="B54" s="11"/>
      <c r="C54" s="11"/>
      <c r="D54" s="12"/>
      <c r="E54" s="12"/>
      <c r="F54" s="12"/>
      <c r="G54" s="12"/>
      <c r="H54" s="12"/>
      <c r="I54" s="12"/>
      <c r="J54" s="12"/>
      <c r="K54" s="12"/>
    </row>
  </sheetData>
  <mergeCells count="41">
    <mergeCell ref="C27:H27"/>
    <mergeCell ref="C28:H28"/>
    <mergeCell ref="C29:H29"/>
    <mergeCell ref="C30:H30"/>
    <mergeCell ref="B34:D34"/>
    <mergeCell ref="E34:G34"/>
    <mergeCell ref="B35:D35"/>
    <mergeCell ref="E35:G35"/>
    <mergeCell ref="B36:D36"/>
    <mergeCell ref="E36:G36"/>
    <mergeCell ref="B37:D37"/>
    <mergeCell ref="E37:G37"/>
    <mergeCell ref="B38:D38"/>
    <mergeCell ref="E38:G38"/>
    <mergeCell ref="B39:D39"/>
    <mergeCell ref="E39:G39"/>
    <mergeCell ref="B40:D40"/>
    <mergeCell ref="E40:G40"/>
    <mergeCell ref="B41:D41"/>
    <mergeCell ref="E41:G41"/>
    <mergeCell ref="A45:C45"/>
    <mergeCell ref="D45:E45"/>
    <mergeCell ref="F45:K45"/>
    <mergeCell ref="A46:C46"/>
    <mergeCell ref="D46:E46"/>
    <mergeCell ref="F46:K46"/>
    <mergeCell ref="A47:C47"/>
    <mergeCell ref="D47:E47"/>
    <mergeCell ref="F47:K47"/>
    <mergeCell ref="A48:C48"/>
    <mergeCell ref="D48:E48"/>
    <mergeCell ref="F48:K48"/>
    <mergeCell ref="A49:C49"/>
    <mergeCell ref="D49:E49"/>
    <mergeCell ref="F49:K49"/>
    <mergeCell ref="A52:C52"/>
    <mergeCell ref="D52:K52"/>
    <mergeCell ref="A53:C53"/>
    <mergeCell ref="D53:K53"/>
    <mergeCell ref="A54:C54"/>
    <mergeCell ref="D54:K54"/>
  </mergeCells>
  <conditionalFormatting sqref="P12:P15">
    <cfRule type="expression" priority="2" aboveAverage="0" equalAverage="0" bottom="0" percent="0" rank="0" text="" dxfId="0">
      <formula>P12="yes"</formula>
    </cfRule>
    <cfRule type="expression" priority="3" aboveAverage="0" equalAverage="0" bottom="0" percent="0" rank="0" text="" dxfId="1">
      <formula>P12="no"</formula>
    </cfRule>
  </conditionalFormatting>
  <dataValidations count="6">
    <dataValidation allowBlank="true" error="Allowed values: code, model, code and model" errorStyle="stop" errorTitle="Pick from the list" operator="between" showDropDown="false" showErrorMessage="true" showInputMessage="false" sqref="B12:B15" type="list">
      <formula1>"code,model,code and model"</formula1>
      <formula2>0</formula2>
    </dataValidation>
    <dataValidation allowBlank="true" error="Allowed values: Workflow, Two-hop, Hybrid, Agent" errorStyle="stop" errorTitle="Pick from the list" operator="between" showDropDown="false" showErrorMessage="true" showInputMessage="false" sqref="B26" type="list">
      <formula1>"Workflow,Two-hop,Hybrid,Agent"</formula1>
      <formula2>0</formula2>
    </dataValidation>
    <dataValidation allowBlank="true" error="Allowed values: yes, no" errorStyle="stop" errorTitle="Pick from the list" operator="between" showDropDown="false" showErrorMessage="true" showInputMessage="false" sqref="D46" type="list">
      <formula1>"yes,no"</formula1>
      <formula2>0</formula2>
    </dataValidation>
    <dataValidation allowBlank="true" error="Allowed values: act, answer only" errorStyle="stop" errorTitle="Pick from the list" operator="between" showDropDown="false" showErrorMessage="true" showInputMessage="false" sqref="D47" type="list">
      <formula1>"act,answer only"</formula1>
      <formula2>0</formula2>
    </dataValidation>
    <dataValidation allowBlank="true" error="Allowed values: person, at once, system, later" errorStyle="stop" errorTitle="Pick from the list" operator="between" showDropDown="false" showErrorMessage="true" showInputMessage="false" sqref="D48" type="list">
      <formula1>"person,at once,system,later"</formula1>
      <formula2>0</formula2>
    </dataValidation>
    <dataValidation allowBlank="true" error="Allowed values: three caps written, model says so" errorStyle="stop" errorTitle="Pick from the list" operator="between" showDropDown="false" showErrorMessage="true" showInputMessage="false" sqref="D49" type="list">
      <formula1>"three caps written,model says so"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6"/>
    <col collapsed="false" customWidth="true" hidden="false" outlineLevel="0" max="7" min="3" style="1" width="11"/>
    <col collapsed="false" customWidth="true" hidden="false" outlineLevel="0" max="8" min="8" style="1" width="12"/>
    <col collapsed="false" customWidth="true" hidden="false" outlineLevel="0" max="9" min="9" style="1" width="13"/>
    <col collapsed="false" customWidth="true" hidden="false" outlineLevel="0" max="10" min="10" style="1" width="11"/>
    <col collapsed="false" customWidth="true" hidden="false" outlineLevel="0" max="11" min="11" style="1" width="19"/>
    <col collapsed="false" customWidth="true" hidden="false" outlineLevel="0" max="14" min="12" style="1" width="13"/>
    <col collapsed="false" customWidth="true" hidden="false" outlineLevel="0" max="16" min="15" style="1" width="14"/>
    <col collapsed="false" customWidth="true" hidden="false" outlineLevel="0" max="17" min="17" style="1" width="16"/>
  </cols>
  <sheetData>
    <row r="1" customFormat="false" ht="19.5" hidden="false" customHeight="true" outlineLevel="0" collapsed="false">
      <c r="A1" s="2" t="s">
        <v>22</v>
      </c>
    </row>
    <row r="2" customFormat="false" ht="15" hidden="false" customHeight="true" outlineLevel="0" collapsed="false">
      <c r="A2" s="3" t="s">
        <v>108</v>
      </c>
    </row>
    <row r="4" customFormat="false" ht="17.25" hidden="false" customHeight="true" outlineLevel="0" collapsed="false">
      <c r="A4" s="4" t="s">
        <v>24</v>
      </c>
      <c r="B4" s="6" t="n">
        <v>6600</v>
      </c>
      <c r="C4" s="3" t="s">
        <v>25</v>
      </c>
    </row>
    <row r="5" customFormat="false" ht="17.25" hidden="false" customHeight="true" outlineLevel="0" collapsed="false">
      <c r="A5" s="4" t="s">
        <v>26</v>
      </c>
      <c r="B5" s="7" t="n">
        <v>0.8</v>
      </c>
    </row>
    <row r="6" customFormat="false" ht="17.25" hidden="false" customHeight="true" outlineLevel="0" collapsed="false">
      <c r="A6" s="4" t="s">
        <v>27</v>
      </c>
      <c r="B6" s="7" t="n">
        <v>0.8</v>
      </c>
    </row>
    <row r="7" customFormat="false" ht="17.25" hidden="false" customHeight="true" outlineLevel="0" collapsed="false">
      <c r="A7" s="4" t="s">
        <v>28</v>
      </c>
      <c r="B7" s="7" t="n">
        <v>0.8</v>
      </c>
    </row>
    <row r="8" customFormat="false" ht="30.75" hidden="false" customHeight="true" outlineLevel="0" collapsed="false">
      <c r="A8" s="4" t="s">
        <v>29</v>
      </c>
      <c r="B8" s="8" t="n">
        <v>2</v>
      </c>
      <c r="C8" s="3" t="s">
        <v>30</v>
      </c>
    </row>
    <row r="10" customFormat="false" ht="15" hidden="false" customHeight="true" outlineLevel="0" collapsed="false">
      <c r="A10" s="9" t="s">
        <v>31</v>
      </c>
    </row>
    <row r="11" customFormat="false" ht="31.5" hidden="false" customHeight="true" outlineLevel="0" collapsed="false">
      <c r="A11" s="10" t="s">
        <v>32</v>
      </c>
      <c r="B11" s="10" t="s">
        <v>33</v>
      </c>
      <c r="C11" s="10" t="s">
        <v>34</v>
      </c>
      <c r="D11" s="10" t="s">
        <v>35</v>
      </c>
      <c r="E11" s="10" t="s">
        <v>36</v>
      </c>
      <c r="F11" s="10" t="s">
        <v>37</v>
      </c>
      <c r="G11" s="10" t="s">
        <v>38</v>
      </c>
      <c r="H11" s="10" t="s">
        <v>39</v>
      </c>
      <c r="I11" s="10" t="s">
        <v>40</v>
      </c>
      <c r="J11" s="10" t="s">
        <v>41</v>
      </c>
      <c r="K11" s="10" t="s">
        <v>42</v>
      </c>
      <c r="L11" s="10" t="s">
        <v>43</v>
      </c>
      <c r="M11" s="10" t="s">
        <v>44</v>
      </c>
      <c r="N11" s="10" t="s">
        <v>45</v>
      </c>
      <c r="O11" s="10" t="s">
        <v>46</v>
      </c>
      <c r="P11" s="10" t="s">
        <v>47</v>
      </c>
      <c r="Q11" s="10" t="s">
        <v>48</v>
      </c>
    </row>
    <row r="12" customFormat="false" ht="27.75" hidden="false" customHeight="true" outlineLevel="0" collapsed="false">
      <c r="A12" s="11" t="s">
        <v>49</v>
      </c>
      <c r="B12" s="12" t="s">
        <v>50</v>
      </c>
      <c r="C12" s="7" t="n">
        <v>0.83</v>
      </c>
      <c r="D12" s="7" t="n">
        <v>0.75</v>
      </c>
      <c r="E12" s="7" t="n">
        <v>0.83</v>
      </c>
      <c r="F12" s="7" t="n">
        <v>3.83</v>
      </c>
      <c r="G12" s="7" t="n">
        <v>2</v>
      </c>
      <c r="H12" s="6" t="n">
        <v>3056</v>
      </c>
      <c r="I12" s="13" t="n">
        <v>1.6</v>
      </c>
      <c r="J12" s="7" t="n">
        <v>5.74</v>
      </c>
      <c r="K12" s="12" t="s">
        <v>85</v>
      </c>
      <c r="L12" s="14" t="n">
        <f aca="false">IF(OR(H12="",$H$12=""),"",H12/$H$12)</f>
        <v>1</v>
      </c>
      <c r="M12" s="14" t="n">
        <f aca="false">IF(OR(I12="",$I$12=""),"",I12/$I$12)</f>
        <v>1</v>
      </c>
      <c r="N12" s="14" t="n">
        <f aca="false">IF(OR(J12="",$J$12=""),"",J12/$J$12)</f>
        <v>1</v>
      </c>
      <c r="O12" s="15" t="n">
        <f aca="false">IF(OR(I12="",$B$4=""),"",I12*$B$4/1000)</f>
        <v>10.56</v>
      </c>
      <c r="P12" s="16" t="str">
        <f aca="false">IF(OR(C12="",D12="",E12=""),"",IF(AND(C12&gt;=$B$5,D12&gt;=$B$6,E12&gt;=$B$7),"yes","no"))</f>
        <v>no</v>
      </c>
      <c r="Q12" s="17" t="n">
        <f aca="false">IF(OR(I12="",E12="",E12=0),"",I12/E12)</f>
        <v>1.92771084337349</v>
      </c>
    </row>
    <row r="13" customFormat="false" ht="27.75" hidden="false" customHeight="true" outlineLevel="0" collapsed="false">
      <c r="A13" s="11" t="s">
        <v>51</v>
      </c>
      <c r="B13" s="12" t="s">
        <v>50</v>
      </c>
      <c r="C13" s="7" t="n">
        <v>0.83</v>
      </c>
      <c r="D13" s="7" t="n">
        <v>0.75</v>
      </c>
      <c r="E13" s="7" t="n">
        <v>0.83</v>
      </c>
      <c r="F13" s="7" t="n">
        <v>4</v>
      </c>
      <c r="G13" s="7" t="n">
        <v>2.83</v>
      </c>
      <c r="H13" s="6" t="n">
        <v>4332</v>
      </c>
      <c r="I13" s="13" t="n">
        <v>2.18</v>
      </c>
      <c r="J13" s="7" t="n">
        <v>6.94</v>
      </c>
      <c r="K13" s="12" t="s">
        <v>109</v>
      </c>
      <c r="L13" s="14" t="n">
        <f aca="false">IF(OR(H13="",$H$12=""),"",H13/$H$12)</f>
        <v>1.41753926701571</v>
      </c>
      <c r="M13" s="14" t="n">
        <f aca="false">IF(OR(I13="",$I$12=""),"",I13/$I$12)</f>
        <v>1.3625</v>
      </c>
      <c r="N13" s="14" t="n">
        <f aca="false">IF(OR(J13="",$J$12=""),"",J13/$J$12)</f>
        <v>1.20905923344948</v>
      </c>
      <c r="O13" s="15" t="n">
        <f aca="false">IF(OR(I13="",$B$4=""),"",I13*$B$4/1000)</f>
        <v>14.388</v>
      </c>
      <c r="P13" s="16" t="str">
        <f aca="false">IF(OR(C13="",D13="",E13=""),"",IF(AND(C13&gt;=$B$5,D13&gt;=$B$6,E13&gt;=$B$7),"yes","no"))</f>
        <v>no</v>
      </c>
      <c r="Q13" s="17" t="n">
        <f aca="false">IF(OR(I13="",E13="",E13=0),"",I13/E13)</f>
        <v>2.62650602409639</v>
      </c>
    </row>
    <row r="14" customFormat="false" ht="27.75" hidden="false" customHeight="true" outlineLevel="0" collapsed="false">
      <c r="A14" s="11" t="s">
        <v>52</v>
      </c>
      <c r="B14" s="12" t="s">
        <v>53</v>
      </c>
      <c r="C14" s="7" t="n">
        <v>0.83</v>
      </c>
      <c r="D14" s="7" t="n">
        <v>0.5</v>
      </c>
      <c r="E14" s="7" t="n">
        <v>0.83</v>
      </c>
      <c r="F14" s="7" t="n">
        <v>6.17</v>
      </c>
      <c r="G14" s="7" t="n">
        <v>4.67</v>
      </c>
      <c r="H14" s="6" t="n">
        <v>8451</v>
      </c>
      <c r="I14" s="13" t="n">
        <v>4.04</v>
      </c>
      <c r="J14" s="7" t="n">
        <v>15.76</v>
      </c>
      <c r="K14" s="12" t="s">
        <v>110</v>
      </c>
      <c r="L14" s="14" t="n">
        <f aca="false">IF(OR(H14="",$H$12=""),"",H14/$H$12)</f>
        <v>2.76537958115183</v>
      </c>
      <c r="M14" s="14" t="n">
        <f aca="false">IF(OR(I14="",$I$12=""),"",I14/$I$12)</f>
        <v>2.525</v>
      </c>
      <c r="N14" s="14" t="n">
        <f aca="false">IF(OR(J14="",$J$12=""),"",J14/$J$12)</f>
        <v>2.74564459930314</v>
      </c>
      <c r="O14" s="15" t="n">
        <f aca="false">IF(OR(I14="",$B$4=""),"",I14*$B$4/1000)</f>
        <v>26.664</v>
      </c>
      <c r="P14" s="16" t="str">
        <f aca="false">IF(OR(C14="",D14="",E14=""),"",IF(AND(C14&gt;=$B$5,D14&gt;=$B$6,E14&gt;=$B$7),"yes","no"))</f>
        <v>no</v>
      </c>
      <c r="Q14" s="17" t="n">
        <f aca="false">IF(OR(I14="",E14="",E14=0),"",I14/E14)</f>
        <v>4.86746987951807</v>
      </c>
    </row>
    <row r="15" customFormat="false" ht="27.75" hidden="false" customHeight="true" outlineLevel="0" collapsed="false">
      <c r="A15" s="11" t="s">
        <v>54</v>
      </c>
      <c r="B15" s="12" t="s">
        <v>55</v>
      </c>
      <c r="C15" s="7" t="n">
        <v>1</v>
      </c>
      <c r="D15" s="7" t="n">
        <v>0.75</v>
      </c>
      <c r="E15" s="7" t="n">
        <v>0.83</v>
      </c>
      <c r="F15" s="7" t="n">
        <v>2.83</v>
      </c>
      <c r="G15" s="7" t="n">
        <v>4.83</v>
      </c>
      <c r="H15" s="6" t="n">
        <v>10809</v>
      </c>
      <c r="I15" s="13" t="n">
        <v>5.08</v>
      </c>
      <c r="J15" s="7" t="n">
        <v>14.99</v>
      </c>
      <c r="K15" s="12" t="s">
        <v>111</v>
      </c>
      <c r="L15" s="14" t="n">
        <f aca="false">IF(OR(H15="",$H$12=""),"",H15/$H$12)</f>
        <v>3.53697643979058</v>
      </c>
      <c r="M15" s="14" t="n">
        <f aca="false">IF(OR(I15="",$I$12=""),"",I15/$I$12)</f>
        <v>3.175</v>
      </c>
      <c r="N15" s="14" t="n">
        <f aca="false">IF(OR(J15="",$J$12=""),"",J15/$J$12)</f>
        <v>2.61149825783972</v>
      </c>
      <c r="O15" s="15" t="n">
        <f aca="false">IF(OR(I15="",$B$4=""),"",I15*$B$4/1000)</f>
        <v>33.528</v>
      </c>
      <c r="P15" s="16" t="str">
        <f aca="false">IF(OR(C15="",D15="",E15=""),"",IF(AND(C15&gt;=$B$5,D15&gt;=$B$6,E15&gt;=$B$7),"yes","no"))</f>
        <v>no</v>
      </c>
      <c r="Q15" s="17" t="n">
        <f aca="false">IF(OR(I15="",E15="",E15=0),"",I15/E15)</f>
        <v>6.12048192771084</v>
      </c>
    </row>
    <row r="16" customFormat="false" ht="15" hidden="false" customHeight="true" outlineLevel="0" collapsed="false">
      <c r="A16" s="3" t="s">
        <v>56</v>
      </c>
    </row>
    <row r="18" customFormat="false" ht="15" hidden="false" customHeight="true" outlineLevel="0" collapsed="false">
      <c r="A18" s="9" t="s">
        <v>57</v>
      </c>
    </row>
    <row r="19" customFormat="false" ht="43.5" hidden="false" customHeight="true" outlineLevel="0" collapsed="false">
      <c r="A19" s="10" t="s">
        <v>32</v>
      </c>
      <c r="B19" s="10" t="s">
        <v>58</v>
      </c>
      <c r="C19" s="10" t="s">
        <v>59</v>
      </c>
      <c r="D19" s="10" t="s">
        <v>60</v>
      </c>
    </row>
    <row r="20" customFormat="false" ht="15" hidden="false" customHeight="true" outlineLevel="0" collapsed="false">
      <c r="A20" s="11" t="str">
        <f aca="false">A12</f>
        <v>Workflow</v>
      </c>
      <c r="B20" s="7" t="n">
        <v>3.83</v>
      </c>
      <c r="C20" s="7" t="n">
        <v>0</v>
      </c>
      <c r="D20" s="18" t="n">
        <f aca="false">IF(OR(B20="",C20=""),"",IF(B20+C20=0,"",C20/(B20+C20)))</f>
        <v>0</v>
      </c>
    </row>
    <row r="21" customFormat="false" ht="15" hidden="false" customHeight="true" outlineLevel="0" collapsed="false">
      <c r="A21" s="11" t="str">
        <f aca="false">A13</f>
        <v>Two-hop</v>
      </c>
      <c r="B21" s="7" t="n">
        <v>4</v>
      </c>
      <c r="C21" s="7" t="n">
        <v>0</v>
      </c>
      <c r="D21" s="18" t="n">
        <f aca="false">IF(OR(B21="",C21=""),"",IF(B21+C21=0,"",C21/(B21+C21)))</f>
        <v>0</v>
      </c>
    </row>
    <row r="22" customFormat="false" ht="15" hidden="false" customHeight="true" outlineLevel="0" collapsed="false">
      <c r="A22" s="11" t="str">
        <f aca="false">A14</f>
        <v>Hybrid</v>
      </c>
      <c r="B22" s="7" t="n">
        <v>3</v>
      </c>
      <c r="C22" s="7" t="n">
        <v>3.17</v>
      </c>
      <c r="D22" s="18" t="n">
        <f aca="false">IF(OR(B22="",C22=""),"",IF(B22+C22=0,"",C22/(B22+C22)))</f>
        <v>0.513776337115073</v>
      </c>
    </row>
    <row r="23" customFormat="false" ht="15" hidden="false" customHeight="true" outlineLevel="0" collapsed="false">
      <c r="A23" s="11" t="str">
        <f aca="false">A15</f>
        <v>Agent</v>
      </c>
      <c r="B23" s="7" t="n">
        <v>0</v>
      </c>
      <c r="C23" s="7" t="n">
        <v>2.83</v>
      </c>
      <c r="D23" s="18" t="n">
        <f aca="false">IF(OR(B23="",C23=""),"",IF(B23+C23=0,"",C23/(B23+C23)))</f>
        <v>1</v>
      </c>
    </row>
    <row r="25" customFormat="false" ht="15" hidden="false" customHeight="true" outlineLevel="0" collapsed="false">
      <c r="A25" s="9" t="s">
        <v>61</v>
      </c>
    </row>
    <row r="26" customFormat="false" ht="17.25" hidden="false" customHeight="true" outlineLevel="0" collapsed="false">
      <c r="A26" s="4" t="s">
        <v>32</v>
      </c>
      <c r="B26" s="12" t="s">
        <v>54</v>
      </c>
    </row>
    <row r="27" customFormat="false" ht="31.5" hidden="false" customHeight="true" outlineLevel="0" collapsed="false">
      <c r="A27" s="10" t="s">
        <v>62</v>
      </c>
      <c r="B27" s="10" t="s">
        <v>63</v>
      </c>
      <c r="C27" s="10" t="s">
        <v>64</v>
      </c>
      <c r="D27" s="10"/>
      <c r="E27" s="10"/>
      <c r="F27" s="10"/>
      <c r="G27" s="10"/>
      <c r="H27" s="10"/>
    </row>
    <row r="28" customFormat="false" ht="17.25" hidden="false" customHeight="true" outlineLevel="0" collapsed="false">
      <c r="A28" s="11" t="s">
        <v>65</v>
      </c>
      <c r="B28" s="19" t="n">
        <f aca="false">IFERROR(ROUNDUP(INDEX($G$12:$G$15,MATCH($B$26,$A$12:$A$15,0))*$B$8,0),"")</f>
        <v>10</v>
      </c>
      <c r="C28" s="20" t="s">
        <v>66</v>
      </c>
      <c r="D28" s="20"/>
      <c r="E28" s="20"/>
      <c r="F28" s="20"/>
      <c r="G28" s="20"/>
      <c r="H28" s="20"/>
    </row>
    <row r="29" customFormat="false" ht="17.25" hidden="false" customHeight="true" outlineLevel="0" collapsed="false">
      <c r="A29" s="11" t="s">
        <v>67</v>
      </c>
      <c r="B29" s="21" t="n">
        <f aca="false">IFERROR(INDEX($I$12:$I$15,MATCH($B$26,$A$12:$A$15,0))/1000*$B$8,"")</f>
        <v>0.01016</v>
      </c>
      <c r="C29" s="20" t="s">
        <v>68</v>
      </c>
      <c r="D29" s="20"/>
      <c r="E29" s="20"/>
      <c r="F29" s="20"/>
      <c r="G29" s="20"/>
      <c r="H29" s="20"/>
    </row>
    <row r="30" customFormat="false" ht="30.75" hidden="false" customHeight="true" outlineLevel="0" collapsed="false">
      <c r="A30" s="11" t="s">
        <v>69</v>
      </c>
      <c r="B30" s="22" t="n">
        <f aca="false">IFERROR(INDEX($J$12:$J$15,MATCH($B$26,$A$12:$A$15,0))*$B$8,"")</f>
        <v>29.98</v>
      </c>
      <c r="C30" s="20" t="s">
        <v>70</v>
      </c>
      <c r="D30" s="20"/>
      <c r="E30" s="20"/>
      <c r="F30" s="20"/>
      <c r="G30" s="20"/>
      <c r="H30" s="20"/>
    </row>
    <row r="31" customFormat="false" ht="15" hidden="false" customHeight="true" outlineLevel="0" collapsed="false">
      <c r="A31" s="3" t="s">
        <v>71</v>
      </c>
    </row>
    <row r="33" customFormat="false" ht="15" hidden="false" customHeight="true" outlineLevel="0" collapsed="false">
      <c r="A33" s="9" t="s">
        <v>72</v>
      </c>
    </row>
    <row r="34" customFormat="false" ht="31.5" hidden="false" customHeight="true" outlineLevel="0" collapsed="false">
      <c r="A34" s="10" t="s">
        <v>73</v>
      </c>
      <c r="B34" s="10" t="s">
        <v>74</v>
      </c>
      <c r="C34" s="10"/>
      <c r="D34" s="10"/>
      <c r="E34" s="10" t="s">
        <v>75</v>
      </c>
      <c r="F34" s="10"/>
      <c r="G34" s="10"/>
      <c r="H34" s="10" t="s">
        <v>76</v>
      </c>
    </row>
    <row r="35" customFormat="false" ht="27.75" hidden="false" customHeight="true" outlineLevel="0" collapsed="false">
      <c r="A35" s="11" t="n">
        <v>0</v>
      </c>
      <c r="B35" s="23" t="s">
        <v>77</v>
      </c>
      <c r="C35" s="23"/>
      <c r="D35" s="23"/>
      <c r="E35" s="23" t="s">
        <v>78</v>
      </c>
      <c r="F35" s="23"/>
      <c r="G35" s="23"/>
      <c r="H35" s="23" t="s">
        <v>79</v>
      </c>
    </row>
    <row r="36" customFormat="false" ht="27.75" hidden="false" customHeight="true" outlineLevel="0" collapsed="false">
      <c r="A36" s="11" t="n">
        <v>1</v>
      </c>
      <c r="B36" s="23" t="s">
        <v>80</v>
      </c>
      <c r="C36" s="23"/>
      <c r="D36" s="23"/>
      <c r="E36" s="23" t="s">
        <v>78</v>
      </c>
      <c r="F36" s="23"/>
      <c r="G36" s="23"/>
      <c r="H36" s="23" t="s">
        <v>79</v>
      </c>
    </row>
    <row r="37" customFormat="false" ht="30.75" hidden="false" customHeight="true" outlineLevel="0" collapsed="false">
      <c r="A37" s="11" t="n">
        <v>2</v>
      </c>
      <c r="B37" s="23" t="s">
        <v>81</v>
      </c>
      <c r="C37" s="23"/>
      <c r="D37" s="23"/>
      <c r="E37" s="23" t="s">
        <v>78</v>
      </c>
      <c r="F37" s="23"/>
      <c r="G37" s="23"/>
      <c r="H37" s="23" t="s">
        <v>82</v>
      </c>
    </row>
    <row r="38" customFormat="false" ht="30.75" hidden="false" customHeight="true" outlineLevel="0" collapsed="false">
      <c r="A38" s="11" t="n">
        <v>3</v>
      </c>
      <c r="B38" s="23" t="s">
        <v>83</v>
      </c>
      <c r="C38" s="23"/>
      <c r="D38" s="23"/>
      <c r="E38" s="23" t="s">
        <v>84</v>
      </c>
      <c r="F38" s="23"/>
      <c r="G38" s="23"/>
      <c r="H38" s="23" t="s">
        <v>85</v>
      </c>
    </row>
    <row r="39" customFormat="false" ht="30.75" hidden="false" customHeight="true" outlineLevel="0" collapsed="false">
      <c r="A39" s="11" t="n">
        <v>4</v>
      </c>
      <c r="B39" s="23" t="s">
        <v>86</v>
      </c>
      <c r="C39" s="23"/>
      <c r="D39" s="23"/>
      <c r="E39" s="23" t="s">
        <v>87</v>
      </c>
      <c r="F39" s="23"/>
      <c r="G39" s="23"/>
      <c r="H39" s="23" t="s">
        <v>88</v>
      </c>
    </row>
    <row r="40" customFormat="false" ht="43.5" hidden="false" customHeight="true" outlineLevel="0" collapsed="false">
      <c r="A40" s="11" t="n">
        <v>5</v>
      </c>
      <c r="B40" s="23" t="s">
        <v>89</v>
      </c>
      <c r="C40" s="23"/>
      <c r="D40" s="23"/>
      <c r="E40" s="23" t="s">
        <v>90</v>
      </c>
      <c r="F40" s="23"/>
      <c r="G40" s="23"/>
      <c r="H40" s="23" t="s">
        <v>91</v>
      </c>
    </row>
    <row r="41" customFormat="false" ht="30.75" hidden="false" customHeight="true" outlineLevel="0" collapsed="false">
      <c r="A41" s="11" t="n">
        <v>6</v>
      </c>
      <c r="B41" s="23" t="s">
        <v>92</v>
      </c>
      <c r="C41" s="23"/>
      <c r="D41" s="23"/>
      <c r="E41" s="23" t="s">
        <v>93</v>
      </c>
      <c r="F41" s="23"/>
      <c r="G41" s="23"/>
      <c r="H41" s="23" t="s">
        <v>94</v>
      </c>
    </row>
    <row r="42" customFormat="false" ht="15" hidden="false" customHeight="true" outlineLevel="0" collapsed="false">
      <c r="A42" s="3" t="s">
        <v>95</v>
      </c>
    </row>
    <row r="44" customFormat="false" ht="15" hidden="false" customHeight="true" outlineLevel="0" collapsed="false">
      <c r="A44" s="9" t="s">
        <v>96</v>
      </c>
    </row>
    <row r="45" customFormat="false" ht="31.5" hidden="false" customHeight="true" outlineLevel="0" collapsed="false">
      <c r="A45" s="10" t="s">
        <v>97</v>
      </c>
      <c r="B45" s="10"/>
      <c r="C45" s="10"/>
      <c r="D45" s="10" t="s">
        <v>98</v>
      </c>
      <c r="E45" s="10"/>
      <c r="F45" s="10" t="s">
        <v>99</v>
      </c>
      <c r="G45" s="10"/>
      <c r="H45" s="10"/>
      <c r="I45" s="10"/>
      <c r="J45" s="10"/>
      <c r="K45" s="10"/>
    </row>
    <row r="46" customFormat="false" ht="17.25" hidden="false" customHeight="true" outlineLevel="0" collapsed="false">
      <c r="A46" s="11" t="s">
        <v>100</v>
      </c>
      <c r="B46" s="11"/>
      <c r="C46" s="11"/>
      <c r="D46" s="12" t="s">
        <v>112</v>
      </c>
      <c r="E46" s="12"/>
      <c r="F46" s="16" t="str">
        <f aca="false">IF(D46="","",IF(D46="yes","Rung 4. Write the workflow.","Rung 5: the branches depend on what is found. Write three caps first."))</f>
        <v>Rung 4. Write the workflow.</v>
      </c>
      <c r="G46" s="16"/>
      <c r="H46" s="16"/>
      <c r="I46" s="16"/>
      <c r="J46" s="16"/>
      <c r="K46" s="16"/>
    </row>
    <row r="47" customFormat="false" ht="17.25" hidden="false" customHeight="true" outlineLevel="0" collapsed="false">
      <c r="A47" s="11" t="s">
        <v>101</v>
      </c>
      <c r="B47" s="11"/>
      <c r="C47" s="11"/>
      <c r="D47" s="12" t="s">
        <v>113</v>
      </c>
      <c r="E47" s="12"/>
      <c r="F47" s="16" t="str">
        <f aca="false">IF(D47="","",IF(D47="act","The gate question. That is S24.","Nothing writes, and the review burden drops."))</f>
        <v>Nothing writes, and the review burden drops.</v>
      </c>
      <c r="G47" s="16"/>
      <c r="H47" s="16"/>
      <c r="I47" s="16"/>
      <c r="J47" s="16"/>
      <c r="K47" s="16"/>
    </row>
    <row r="48" customFormat="false" ht="17.25" hidden="false" customHeight="true" outlineLevel="0" collapsed="false">
      <c r="A48" s="11" t="s">
        <v>102</v>
      </c>
      <c r="B48" s="11"/>
      <c r="C48" s="11"/>
      <c r="D48" s="12" t="s">
        <v>114</v>
      </c>
      <c r="E48" s="12"/>
      <c r="F48" s="16" t="str">
        <f aca="false">IF(D48="","",IF(D48="person, at once","You can afford more autonomy.","You can afford much less. This sets your rung ceiling."))</f>
        <v>You can afford more autonomy.</v>
      </c>
      <c r="G48" s="16"/>
      <c r="H48" s="16"/>
      <c r="I48" s="16"/>
      <c r="J48" s="16"/>
      <c r="K48" s="16"/>
    </row>
    <row r="49" customFormat="false" ht="17.25" hidden="false" customHeight="true" outlineLevel="0" collapsed="false">
      <c r="A49" s="11" t="s">
        <v>103</v>
      </c>
      <c r="B49" s="11"/>
      <c r="C49" s="11"/>
      <c r="D49" s="12" t="s">
        <v>115</v>
      </c>
      <c r="E49" s="12"/>
      <c r="F49" s="16" t="str">
        <f aca="false">IF(D49="","",IF(D49="three caps written","Termination is a number.","No termination condition. That is not a design yet."))</f>
        <v>Termination is a number.</v>
      </c>
      <c r="G49" s="16"/>
      <c r="H49" s="16"/>
      <c r="I49" s="16"/>
      <c r="J49" s="16"/>
      <c r="K49" s="16"/>
    </row>
    <row r="51" customFormat="false" ht="15" hidden="false" customHeight="true" outlineLevel="0" collapsed="false">
      <c r="A51" s="9" t="s">
        <v>104</v>
      </c>
    </row>
    <row r="52" customFormat="false" ht="45.75" hidden="false" customHeight="true" outlineLevel="0" collapsed="false">
      <c r="A52" s="11" t="s">
        <v>105</v>
      </c>
      <c r="B52" s="11"/>
      <c r="C52" s="11"/>
      <c r="D52" s="12" t="s">
        <v>116</v>
      </c>
      <c r="E52" s="12"/>
      <c r="F52" s="12"/>
      <c r="G52" s="12"/>
      <c r="H52" s="12"/>
      <c r="I52" s="12"/>
      <c r="J52" s="12"/>
      <c r="K52" s="12"/>
    </row>
    <row r="53" customFormat="false" ht="45.75" hidden="false" customHeight="true" outlineLevel="0" collapsed="false">
      <c r="A53" s="11" t="s">
        <v>106</v>
      </c>
      <c r="B53" s="11"/>
      <c r="C53" s="11"/>
      <c r="D53" s="12" t="s">
        <v>117</v>
      </c>
      <c r="E53" s="12"/>
      <c r="F53" s="12"/>
      <c r="G53" s="12"/>
      <c r="H53" s="12"/>
      <c r="I53" s="12"/>
      <c r="J53" s="12"/>
      <c r="K53" s="12"/>
    </row>
    <row r="54" customFormat="false" ht="45.75" hidden="false" customHeight="true" outlineLevel="0" collapsed="false">
      <c r="A54" s="11" t="s">
        <v>107</v>
      </c>
      <c r="B54" s="11"/>
      <c r="C54" s="11"/>
      <c r="D54" s="12" t="s">
        <v>118</v>
      </c>
      <c r="E54" s="12"/>
      <c r="F54" s="12"/>
      <c r="G54" s="12"/>
      <c r="H54" s="12"/>
      <c r="I54" s="12"/>
      <c r="J54" s="12"/>
      <c r="K54" s="12"/>
    </row>
  </sheetData>
  <mergeCells count="41">
    <mergeCell ref="C27:H27"/>
    <mergeCell ref="C28:H28"/>
    <mergeCell ref="C29:H29"/>
    <mergeCell ref="C30:H30"/>
    <mergeCell ref="B34:D34"/>
    <mergeCell ref="E34:G34"/>
    <mergeCell ref="B35:D35"/>
    <mergeCell ref="E35:G35"/>
    <mergeCell ref="B36:D36"/>
    <mergeCell ref="E36:G36"/>
    <mergeCell ref="B37:D37"/>
    <mergeCell ref="E37:G37"/>
    <mergeCell ref="B38:D38"/>
    <mergeCell ref="E38:G38"/>
    <mergeCell ref="B39:D39"/>
    <mergeCell ref="E39:G39"/>
    <mergeCell ref="B40:D40"/>
    <mergeCell ref="E40:G40"/>
    <mergeCell ref="B41:D41"/>
    <mergeCell ref="E41:G41"/>
    <mergeCell ref="A45:C45"/>
    <mergeCell ref="D45:E45"/>
    <mergeCell ref="F45:K45"/>
    <mergeCell ref="A46:C46"/>
    <mergeCell ref="D46:E46"/>
    <mergeCell ref="F46:K46"/>
    <mergeCell ref="A47:C47"/>
    <mergeCell ref="D47:E47"/>
    <mergeCell ref="F47:K47"/>
    <mergeCell ref="A48:C48"/>
    <mergeCell ref="D48:E48"/>
    <mergeCell ref="F48:K48"/>
    <mergeCell ref="A49:C49"/>
    <mergeCell ref="D49:E49"/>
    <mergeCell ref="F49:K49"/>
    <mergeCell ref="A52:C52"/>
    <mergeCell ref="D52:K52"/>
    <mergeCell ref="A53:C53"/>
    <mergeCell ref="D53:K53"/>
    <mergeCell ref="A54:C54"/>
    <mergeCell ref="D54:K54"/>
  </mergeCells>
  <conditionalFormatting sqref="P12:P15">
    <cfRule type="expression" priority="2" aboveAverage="0" equalAverage="0" bottom="0" percent="0" rank="0" text="" dxfId="0">
      <formula>P12="yes"</formula>
    </cfRule>
    <cfRule type="expression" priority="3" aboveAverage="0" equalAverage="0" bottom="0" percent="0" rank="0" text="" dxfId="1">
      <formula>P12="no"</formula>
    </cfRule>
  </conditionalFormatting>
  <dataValidations count="6">
    <dataValidation allowBlank="true" error="Allowed values: code, model, code and model" errorStyle="stop" errorTitle="Pick from the list" operator="between" showDropDown="false" showErrorMessage="true" showInputMessage="false" sqref="B12:B15" type="list">
      <formula1>"code,model,code and model"</formula1>
      <formula2>0</formula2>
    </dataValidation>
    <dataValidation allowBlank="true" error="Allowed values: Workflow, Two-hop, Hybrid, Agent" errorStyle="stop" errorTitle="Pick from the list" operator="between" showDropDown="false" showErrorMessage="true" showInputMessage="false" sqref="B26" type="list">
      <formula1>"Workflow,Two-hop,Hybrid,Agent"</formula1>
      <formula2>0</formula2>
    </dataValidation>
    <dataValidation allowBlank="true" error="Allowed values: yes, no" errorStyle="stop" errorTitle="Pick from the list" operator="between" showDropDown="false" showErrorMessage="true" showInputMessage="false" sqref="D46" type="list">
      <formula1>"yes,no"</formula1>
      <formula2>0</formula2>
    </dataValidation>
    <dataValidation allowBlank="true" error="Allowed values: act, answer only" errorStyle="stop" errorTitle="Pick from the list" operator="between" showDropDown="false" showErrorMessage="true" showInputMessage="false" sqref="D47" type="list">
      <formula1>"act,answer only"</formula1>
      <formula2>0</formula2>
    </dataValidation>
    <dataValidation allowBlank="true" error="Allowed values: person, at once, system, later" errorStyle="stop" errorTitle="Pick from the list" operator="between" showDropDown="false" showErrorMessage="true" showInputMessage="false" sqref="D48" type="list">
      <formula1>"person,at once,system,later"</formula1>
      <formula2>0</formula2>
    </dataValidation>
    <dataValidation allowBlank="true" error="Allowed values: three caps written, model says so" errorStyle="stop" errorTitle="Pick from the list" operator="between" showDropDown="false" showErrorMessage="true" showInputMessage="false" sqref="D49" type="list">
      <formula1>"three caps written,model says so"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2026-09-30T01:11:52Z</dcterms:created>
  <dc:creator>openpyxl</dc:creator>
  <dc:description/>
  <dc:language>en-US</dc:language>
  <cp:lastModifiedBy/>
  <dcterms:modified xsi:type="dcterms:W3CDTF">2026-09-30T01:12:34Z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