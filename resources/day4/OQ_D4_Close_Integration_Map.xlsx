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rt here" sheetId="1" state="visible" r:id="rId3"/>
    <sheet name="Your map" sheetId="2" state="visible" r:id="rId4"/>
    <sheet name="Reference ru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<sst xmlns="http://schemas.openxmlformats.org/spreadsheetml/2006/main" count="186" uniqueCount="111">
  <si>
    <t xml:space="preserve">Integration map (Day 4 close)</t>
  </si>
  <si>
    <t xml:space="preserve">Advanced AI for IT | OQ | Day 4, close | Synthetic program material</t>
  </si>
  <si>
    <t xml:space="preserve">What it is</t>
  </si>
  <si>
    <t xml:space="preserve">The worksheet from notebook 15 as a spreadsheet. One row per system your capstone touches, twelve fields, four checks that run as you type, and the ask list and build list that fall out of it.</t>
  </si>
  <si>
    <t xml:space="preserve">Time</t>
  </si>
  <si>
    <t xml:space="preserve">15 minutes, one sheet per group. About 8 of them are the filling.</t>
  </si>
  <si>
    <t xml:space="preserve">Step 1</t>
  </si>
  <si>
    <t xml:space="preserve">Sheet 'Your map': one row per system, not per tool. Start with the system of record. Four rows is the right number; at seven, two of them are the same system reached two ways.</t>
  </si>
  <si>
    <t xml:space="preserve">Step 2</t>
  </si>
  <si>
    <t xml:space="preserve">Owner is a person. If you cannot name one, write ?. Reach is how you call it today, not how the roadmap says you will in Q2.</t>
  </si>
  <si>
    <t xml:space="preserve">Step 3</t>
  </si>
  <si>
    <t xml:space="preserve">Do not argue about trust. If anyone outside the team can put text in, it is untrusted. Almost everything at a plant is.</t>
  </si>
  <si>
    <t xml:space="preserve">Step 4</t>
  </si>
  <si>
    <t xml:space="preserve">Read columns M to P. Each finding is a fix on one row: change session, write the authority line, make the row a mock, or pin and allowlist the egress.</t>
  </si>
  <si>
    <t xml:space="preserve">Step 5</t>
  </si>
  <si>
    <t xml:space="preserve">Read the ask list (column Q) and the build list (column R). The ask list is page one of the governance pack in S29.</t>
  </si>
  <si>
    <t xml:space="preserve">Reference run</t>
  </si>
  <si>
    <t xml:space="preserve">Sheet 'Reference run' is the worked example from the notebook: four rows, two findings, both on sgp-owner-lookup. Set that row's Day 5 cell to out and the sheet reports zero.</t>
  </si>
  <si>
    <t xml:space="preserve">Blank rows</t>
  </si>
  <si>
    <t xml:space="preserve">The map holds eight rows. Formulas stay blank on rows you leave empty.</t>
  </si>
  <si>
    <t xml:space="preserve">Save it</t>
  </si>
  <si>
    <t xml:space="preserve">Keep this file. In Colab, files vanish when the runtime ends; this one lives on your machine.</t>
  </si>
  <si>
    <t xml:space="preserve">Integration map: one row per system your capstone touches</t>
  </si>
  <si>
    <t xml:space="preserve">Day 4, close | Yellow cells are yours | Synthetic program material</t>
  </si>
  <si>
    <t xml:space="preserve">Twelve fields in yellow (A to L). Columns M to R read what you wrote and answer the four checks and the two lists.</t>
  </si>
  <si>
    <t xml:space="preserve">System</t>
  </si>
  <si>
    <t xml:space="preserve">Role</t>
  </si>
  <si>
    <t xml:space="preserve">Direction</t>
  </si>
  <si>
    <t xml:space="preserve">Reach today</t>
  </si>
  <si>
    <t xml:space="preserve">Access</t>
  </si>
  <si>
    <t xml:space="preserve">Owner (a person)</t>
  </si>
  <si>
    <t xml:space="preserve">Authority</t>
  </si>
  <si>
    <t xml:space="preserve">Trust</t>
  </si>
  <si>
    <t xml:space="preserve">Egress</t>
  </si>
  <si>
    <t xml:space="preserve">Session</t>
  </si>
  <si>
    <t xml:space="preserve">Day 5</t>
  </si>
  <si>
    <t xml:space="preserve">Blocker</t>
  </si>
  <si>
    <t xml:space="preserve">Check 1: triangle</t>
  </si>
  <si>
    <t xml:space="preserve">Check 2: unbounded write</t>
  </si>
  <si>
    <t xml:space="preserve">Check 3: fiction</t>
  </si>
  <si>
    <t xml:space="preserve">Check 4: read-only egress</t>
  </si>
  <si>
    <t xml:space="preserve">Ask (a line for the ask list)</t>
  </si>
  <si>
    <t xml:space="preserve">Build list line</t>
  </si>
  <si>
    <t xml:space="preserve">main</t>
  </si>
  <si>
    <t xml:space="preserve">Findings and lists</t>
  </si>
  <si>
    <t xml:space="preserve">Rows filled in (system named)</t>
  </si>
  <si>
    <t xml:space="preserve">Cells still open in those rows (12 fields each)</t>
  </si>
  <si>
    <t xml:space="preserve">Rows marked day5 = out are left out of every check. Documenting a system you decided not to touch is the point of writing it down.</t>
  </si>
  <si>
    <t xml:space="preserve">Check 1, triangle: findings</t>
  </si>
  <si>
    <t xml:space="preserve">The checks read what you wrote. A system you forgot is not a finding, it is an incident in March. Ask: what reads what you write, and what else lands in the untrusted systems?</t>
  </si>
  <si>
    <t xml:space="preserve">Check 2, unbounded write: findings</t>
  </si>
  <si>
    <t xml:space="preserve">Check 3, fiction: findings</t>
  </si>
  <si>
    <t xml:space="preserve">Check 4, read-only egress: findings</t>
  </si>
  <si>
    <t xml:space="preserve">Total findings</t>
  </si>
  <si>
    <t xml:space="preserve">Real for Thursday</t>
  </si>
  <si>
    <t xml:space="preserve">Mock for Thursday</t>
  </si>
  <si>
    <t xml:space="preserve">Out (documented, not touched)</t>
  </si>
  <si>
    <t xml:space="preserve">Rows with no stance yet</t>
  </si>
  <si>
    <t xml:space="preserve">Allowed values</t>
  </si>
  <si>
    <t xml:space="preserve">Field</t>
  </si>
  <si>
    <t xml:space="preserve">Values</t>
  </si>
  <si>
    <t xml:space="preserve">direction</t>
  </si>
  <si>
    <t xml:space="preserve">read, write, read+write, call (a system that holds none of your records)</t>
  </si>
  <si>
    <t xml:space="preserve">access</t>
  </si>
  <si>
    <t xml:space="preserve">have, requested, none</t>
  </si>
  <si>
    <t xml:space="preserve">trust</t>
  </si>
  <si>
    <t xml:space="preserve">trusted, untrusted (did anyone outside your team write text that lands in this system?)</t>
  </si>
  <si>
    <t xml:space="preserve">egress</t>
  </si>
  <si>
    <t xml:space="preserve">none, internal, external (can content leave through this hop in a shape the model chooses?)</t>
  </si>
  <si>
    <t xml:space="preserve">session</t>
  </si>
  <si>
    <t xml:space="preserve">main until you split one</t>
  </si>
  <si>
    <t xml:space="preserve">day5</t>
  </si>
  <si>
    <t xml:space="preserve">real, mock, out</t>
  </si>
  <si>
    <t xml:space="preserve">owner</t>
  </si>
  <si>
    <t xml:space="preserve">a person. If you cannot name one, write ? and it goes on the ask list</t>
  </si>
  <si>
    <t xml:space="preserve">Reference run: this week's own stack, mapped (notebook 15's worked example). Synthetic program material</t>
  </si>
  <si>
    <t xml:space="preserve">SGP service desk</t>
  </si>
  <si>
    <t xml:space="preserve">system of record</t>
  </si>
  <si>
    <t xml:space="preserve">read+write</t>
  </si>
  <si>
    <t xml:space="preserve">MCP server, 4 tools</t>
  </si>
  <si>
    <t xml:space="preserve">have</t>
  </si>
  <si>
    <t xml:space="preserve">desk lead (in the lab: nobody)</t>
  </si>
  <si>
    <t xml:space="preserve">3 named tickets, open -&gt; in_progress, max 2 writes</t>
  </si>
  <si>
    <t xml:space="preserve">untrusted</t>
  </si>
  <si>
    <t xml:space="preserve">internal</t>
  </si>
  <si>
    <t xml:space="preserve">real</t>
  </si>
  <si>
    <t xml:space="preserve">none. It is a JSON file we own</t>
  </si>
  <si>
    <t xml:space="preserve">SGP document store</t>
  </si>
  <si>
    <t xml:space="preserve">document source</t>
  </si>
  <si>
    <t xml:space="preserve">read</t>
  </si>
  <si>
    <t xml:space="preserve">MCP server, BM25 over 74 files</t>
  </si>
  <si>
    <t xml:space="preserve">HSE document controller</t>
  </si>
  <si>
    <t xml:space="preserve">read-only, whole corpus</t>
  </si>
  <si>
    <t xml:space="preserve">none</t>
  </si>
  <si>
    <t xml:space="preserve">the real library has per-folder permissions</t>
  </si>
  <si>
    <t xml:space="preserve">sgp-owner-lookup</t>
  </si>
  <si>
    <t xml:space="preserve">third-party enrichment</t>
  </si>
  <si>
    <t xml:space="preserve">registry install, version not pinned</t>
  </si>
  <si>
    <t xml:space="preserve">nobody at OQ</t>
  </si>
  <si>
    <t xml:space="preserve">none declared. It says read-only</t>
  </si>
  <si>
    <t xml:space="preserve">trusted</t>
  </si>
  <si>
    <t xml:space="preserve">external</t>
  </si>
  <si>
    <t xml:space="preserve">mock</t>
  </si>
  <si>
    <t xml:space="preserve">a named owner and a pinned version</t>
  </si>
  <si>
    <t xml:space="preserve">Model API (vendor)</t>
  </si>
  <si>
    <t xml:space="preserve">the model</t>
  </si>
  <si>
    <t xml:space="preserve">call</t>
  </si>
  <si>
    <t xml:space="preserve">HTTPS, one key in .env</t>
  </si>
  <si>
    <t xml:space="preserve">whoever signed the vendor terms</t>
  </si>
  <si>
    <t xml:space="preserve">n/a</t>
  </si>
  <si>
    <t xml:space="preserve">data classification sign-off, and a named key owner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</si>
</sst>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C1C6B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C1C6B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C1C6B"/>
        <bgColor rgb="FF333399"/>
      </patternFill>
    </fill>
    <fill>
      <patternFill patternType="solid">
        <fgColor rgb="FFFFF2CC"/>
        <bgColor rgb="FFFCE5C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8D7DA"/>
        </patternFill>
      </fill>
    </dxf>
    <dxf>
      <fill>
        <patternFill>
          <bgColor rgb="FFFCE5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5CD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C1C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1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30.75" hidden="false" customHeight="true" outlineLevel="0" collapsed="false">
      <c r="A4" s="4" t="s">
        <v>2</v>
      </c>
      <c r="B4" s="5" t="s">
        <v>3</v>
      </c>
    </row>
    <row r="5" customFormat="false" ht="17.25" hidden="false" customHeight="true" outlineLevel="0" collapsed="false">
      <c r="A5" s="4" t="s">
        <v>4</v>
      </c>
      <c r="B5" s="5" t="s">
        <v>5</v>
      </c>
    </row>
    <row r="6" customFormat="false" ht="30.75" hidden="false" customHeight="true" outlineLevel="0" collapsed="false">
      <c r="A6" s="4" t="s">
        <v>6</v>
      </c>
      <c r="B6" s="5" t="s">
        <v>7</v>
      </c>
    </row>
    <row r="7" customFormat="false" ht="30.75" hidden="false" customHeight="true" outlineLevel="0" collapsed="false">
      <c r="A7" s="4" t="s">
        <v>8</v>
      </c>
      <c r="B7" s="5" t="s">
        <v>9</v>
      </c>
    </row>
    <row r="8" customFormat="false" ht="30.75" hidden="false" customHeight="true" outlineLevel="0" collapsed="false">
      <c r="A8" s="4" t="s">
        <v>10</v>
      </c>
      <c r="B8" s="5" t="s">
        <v>11</v>
      </c>
    </row>
    <row r="9" customFormat="false" ht="30.75" hidden="false" customHeight="true" outlineLevel="0" collapsed="false">
      <c r="A9" s="4" t="s">
        <v>12</v>
      </c>
      <c r="B9" s="5" t="s">
        <v>13</v>
      </c>
    </row>
    <row r="10" customFormat="false" ht="30.75" hidden="false" customHeight="true" outlineLevel="0" collapsed="false">
      <c r="A10" s="4" t="s">
        <v>14</v>
      </c>
      <c r="B10" s="5" t="s">
        <v>15</v>
      </c>
    </row>
    <row r="11" customFormat="false" ht="30.75" hidden="false" customHeight="true" outlineLevel="0" collapsed="false">
      <c r="A11" s="4" t="s">
        <v>16</v>
      </c>
      <c r="B11" s="5" t="s">
        <v>17</v>
      </c>
    </row>
    <row r="12" customFormat="false" ht="17.25" hidden="false" customHeight="true" outlineLevel="0" collapsed="false">
      <c r="A12" s="4" t="s">
        <v>18</v>
      </c>
      <c r="B12" s="5" t="s">
        <v>19</v>
      </c>
    </row>
    <row r="13" customFormat="false" ht="17.25" hidden="false" customHeight="true" outlineLevel="0" collapsed="false">
      <c r="A13" s="4" t="s">
        <v>20</v>
      </c>
      <c r="B13" s="5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20"/>
    <col collapsed="false" customWidth="true" hidden="false" outlineLevel="0" max="3" min="3" style="1" width="11"/>
    <col collapsed="false" customWidth="true" hidden="false" outlineLevel="0" max="4" min="4" style="1" width="26"/>
    <col collapsed="false" customWidth="true" hidden="false" outlineLevel="0" max="5" min="5" style="1" width="11"/>
    <col collapsed="false" customWidth="true" hidden="false" outlineLevel="0" max="6" min="6" style="1" width="24"/>
    <col collapsed="false" customWidth="true" hidden="false" outlineLevel="0" max="7" min="7" style="1" width="30"/>
    <col collapsed="false" customWidth="true" hidden="false" outlineLevel="0" max="8" min="8" style="1" width="12"/>
    <col collapsed="false" customWidth="true" hidden="false" outlineLevel="0" max="9" min="9" style="1" width="11"/>
    <col collapsed="false" customWidth="true" hidden="false" outlineLevel="0" max="10" min="10" style="1" width="10"/>
    <col collapsed="false" customWidth="true" hidden="false" outlineLevel="0" max="11" min="11" style="1" width="9"/>
    <col collapsed="false" customWidth="true" hidden="false" outlineLevel="0" max="12" min="12" style="1" width="34"/>
    <col collapsed="false" customWidth="true" hidden="false" outlineLevel="0" max="16" min="13" style="1" width="15"/>
    <col collapsed="false" customWidth="true" hidden="false" outlineLevel="0" max="17" min="17" style="1" width="44"/>
    <col collapsed="false" customWidth="true" hidden="false" outlineLevel="0" max="18" min="18" style="1" width="52"/>
  </cols>
  <sheetData>
    <row r="1" customFormat="false" ht="19.5" hidden="false" customHeight="true" outlineLevel="0" collapsed="false">
      <c r="A1" s="2" t="s">
        <v>22</v>
      </c>
    </row>
    <row r="2" customFormat="false" ht="15" hidden="false" customHeight="true" outlineLevel="0" collapsed="false">
      <c r="A2" s="3" t="s">
        <v>23</v>
      </c>
    </row>
    <row r="3" customFormat="false" ht="15" hidden="false" customHeight="true" outlineLevel="0" collapsed="false">
      <c r="A3" s="3" t="s">
        <v>24</v>
      </c>
    </row>
    <row r="5" customFormat="false" ht="43.5" hidden="false" customHeight="true" outlineLevel="0" collapsed="false">
      <c r="A5" s="6" t="s">
        <v>25</v>
      </c>
      <c r="B5" s="6" t="s">
        <v>26</v>
      </c>
      <c r="C5" s="6" t="s">
        <v>27</v>
      </c>
      <c r="D5" s="6" t="s">
        <v>28</v>
      </c>
      <c r="E5" s="6" t="s">
        <v>29</v>
      </c>
      <c r="F5" s="6" t="s">
        <v>30</v>
      </c>
      <c r="G5" s="6" t="s">
        <v>31</v>
      </c>
      <c r="H5" s="6" t="s">
        <v>32</v>
      </c>
      <c r="I5" s="6" t="s">
        <v>33</v>
      </c>
      <c r="J5" s="6" t="s">
        <v>34</v>
      </c>
      <c r="K5" s="6" t="s">
        <v>35</v>
      </c>
      <c r="L5" s="6" t="s">
        <v>36</v>
      </c>
      <c r="M5" s="6" t="s">
        <v>37</v>
      </c>
      <c r="N5" s="6" t="s">
        <v>38</v>
      </c>
      <c r="O5" s="6" t="s">
        <v>39</v>
      </c>
      <c r="P5" s="6" t="s">
        <v>40</v>
      </c>
      <c r="Q5" s="6" t="s">
        <v>41</v>
      </c>
      <c r="R5" s="6" t="s">
        <v>42</v>
      </c>
    </row>
    <row r="6" customFormat="false" ht="43.5" hidden="false" customHeight="true" outlineLevel="0" collapsed="false">
      <c r="A6" s="7"/>
      <c r="B6" s="7"/>
      <c r="C6" s="7"/>
      <c r="D6" s="7"/>
      <c r="E6" s="7"/>
      <c r="F6" s="7"/>
      <c r="G6" s="7"/>
      <c r="H6" s="7"/>
      <c r="I6" s="7"/>
      <c r="J6" s="7" t="s">
        <v>43</v>
      </c>
      <c r="K6" s="7"/>
      <c r="L6" s="7"/>
      <c r="M6" s="8" t="str">
        <f aca="false">IF(NOT(AND($A6&lt;&gt;"",$K6&lt;&gt;"out")),"",IF(AND(COUNTIFS($J$6:$J$13,$J6,$K$6:$K$13,"&lt;&gt;out",$H$6:$H$13,"untrusted")&gt;0,COUNTIFS($J$6:$J$13,$J6,$K$6:$K$13,"&lt;&gt;out",$C$6:$C$13,"*read*")&gt;0,COUNTIFS($J$6:$J$13,$J6,$K$6:$K$13,"&lt;&gt;out",$I$6:$I$13,"external")&gt;0),IF($I6="external","FINDING: the way out","in a triangle session"),""))</f>
        <v/>
      </c>
      <c r="N6" s="8" t="str">
        <f aca="false">IF(NOT(AND($A6&lt;&gt;"",$K6&lt;&gt;"out")),"",IF(AND(ISNUMBER(SEARCH("write",$C6)),OR(TRIM($G6)="",LOWER(TRIM($G6))="n/a",LOWER(TRIM($G6))="-",LOWER(TRIM($G6))="none",LEFT(UPPER(TRIM($G6)),4)="TODO")),"FINDING",""))</f>
        <v/>
      </c>
      <c r="O6" s="8" t="str">
        <f aca="false">IF(NOT(AND($A6&lt;&gt;"",$K6&lt;&gt;"out")),"",IF(AND($K6="real",$E6&lt;&gt;"have"),"FINDING",""))</f>
        <v/>
      </c>
      <c r="P6" s="8" t="str">
        <f aca="false">IF(NOT(AND($A6&lt;&gt;"",$K6&lt;&gt;"out")),"",IF(AND($I6="external",NOT(ISNUMBER(SEARCH("write",$C6)))),"FINDING",""))</f>
        <v/>
      </c>
      <c r="Q6" s="8" t="str">
        <f aca="false">IF(NOT(AND($A6&lt;&gt;"",$K6&lt;&gt;"out")),"",TRIM(IF(OR(TRIM($F6)="",ISNUMBER(SEARCH("~?",$F6))),"Name the person who owns it. ","")&amp;IF(OR($E6="requested",$E6="none"),"Access: "&amp;$D6&amp;" ("&amp;$E6&amp;" today). ","")&amp;IF(ISNUMBER(SEARCH("write",$C6)),"Sign-off on the write policy: "&amp;$G6&amp;".","")))</f>
        <v/>
      </c>
      <c r="R6" s="8" t="str">
        <f aca="false">IF($A6="","",IF($K6="out","out: documented, not touched",$K6&amp;": "&amp;$L6))</f>
        <v/>
      </c>
    </row>
    <row r="7" customFormat="false" ht="43.5" hidden="false" customHeight="true" outlineLevel="0" collapsed="false">
      <c r="A7" s="7"/>
      <c r="B7" s="7"/>
      <c r="C7" s="7"/>
      <c r="D7" s="7"/>
      <c r="E7" s="7"/>
      <c r="F7" s="7"/>
      <c r="G7" s="7"/>
      <c r="H7" s="7"/>
      <c r="I7" s="7"/>
      <c r="J7" s="7" t="s">
        <v>43</v>
      </c>
      <c r="K7" s="7"/>
      <c r="L7" s="7"/>
      <c r="M7" s="8" t="str">
        <f aca="false">IF(NOT(AND($A7&lt;&gt;"",$K7&lt;&gt;"out")),"",IF(AND(COUNTIFS($J$6:$J$13,$J7,$K$6:$K$13,"&lt;&gt;out",$H$6:$H$13,"untrusted")&gt;0,COUNTIFS($J$6:$J$13,$J7,$K$6:$K$13,"&lt;&gt;out",$C$6:$C$13,"*read*")&gt;0,COUNTIFS($J$6:$J$13,$J7,$K$6:$K$13,"&lt;&gt;out",$I$6:$I$13,"external")&gt;0),IF($I7="external","FINDING: the way out","in a triangle session"),""))</f>
        <v/>
      </c>
      <c r="N7" s="8" t="str">
        <f aca="false">IF(NOT(AND($A7&lt;&gt;"",$K7&lt;&gt;"out")),"",IF(AND(ISNUMBER(SEARCH("write",$C7)),OR(TRIM($G7)="",LOWER(TRIM($G7))="n/a",LOWER(TRIM($G7))="-",LOWER(TRIM($G7))="none",LEFT(UPPER(TRIM($G7)),4)="TODO")),"FINDING",""))</f>
        <v/>
      </c>
      <c r="O7" s="8" t="str">
        <f aca="false">IF(NOT(AND($A7&lt;&gt;"",$K7&lt;&gt;"out")),"",IF(AND($K7="real",$E7&lt;&gt;"have"),"FINDING",""))</f>
        <v/>
      </c>
      <c r="P7" s="8" t="str">
        <f aca="false">IF(NOT(AND($A7&lt;&gt;"",$K7&lt;&gt;"out")),"",IF(AND($I7="external",NOT(ISNUMBER(SEARCH("write",$C7)))),"FINDING",""))</f>
        <v/>
      </c>
      <c r="Q7" s="8" t="str">
        <f aca="false">IF(NOT(AND($A7&lt;&gt;"",$K7&lt;&gt;"out")),"",TRIM(IF(OR(TRIM($F7)="",ISNUMBER(SEARCH("~?",$F7))),"Name the person who owns it. ","")&amp;IF(OR($E7="requested",$E7="none"),"Access: "&amp;$D7&amp;" ("&amp;$E7&amp;" today). ","")&amp;IF(ISNUMBER(SEARCH("write",$C7)),"Sign-off on the write policy: "&amp;$G7&amp;".","")))</f>
        <v/>
      </c>
      <c r="R7" s="8" t="str">
        <f aca="false">IF($A7="","",IF($K7="out","out: documented, not touched",$K7&amp;": "&amp;$L7))</f>
        <v/>
      </c>
    </row>
    <row r="8" customFormat="false" ht="43.5" hidden="false" customHeight="true" outlineLevel="0" collapsed="false">
      <c r="A8" s="7"/>
      <c r="B8" s="7"/>
      <c r="C8" s="7"/>
      <c r="D8" s="7"/>
      <c r="E8" s="7"/>
      <c r="F8" s="7"/>
      <c r="G8" s="7"/>
      <c r="H8" s="7"/>
      <c r="I8" s="7"/>
      <c r="J8" s="7" t="s">
        <v>43</v>
      </c>
      <c r="K8" s="7"/>
      <c r="L8" s="7"/>
      <c r="M8" s="8" t="str">
        <f aca="false">IF(NOT(AND($A8&lt;&gt;"",$K8&lt;&gt;"out")),"",IF(AND(COUNTIFS($J$6:$J$13,$J8,$K$6:$K$13,"&lt;&gt;out",$H$6:$H$13,"untrusted")&gt;0,COUNTIFS($J$6:$J$13,$J8,$K$6:$K$13,"&lt;&gt;out",$C$6:$C$13,"*read*")&gt;0,COUNTIFS($J$6:$J$13,$J8,$K$6:$K$13,"&lt;&gt;out",$I$6:$I$13,"external")&gt;0),IF($I8="external","FINDING: the way out","in a triangle session"),""))</f>
        <v/>
      </c>
      <c r="N8" s="8" t="str">
        <f aca="false">IF(NOT(AND($A8&lt;&gt;"",$K8&lt;&gt;"out")),"",IF(AND(ISNUMBER(SEARCH("write",$C8)),OR(TRIM($G8)="",LOWER(TRIM($G8))="n/a",LOWER(TRIM($G8))="-",LOWER(TRIM($G8))="none",LEFT(UPPER(TRIM($G8)),4)="TODO")),"FINDING",""))</f>
        <v/>
      </c>
      <c r="O8" s="8" t="str">
        <f aca="false">IF(NOT(AND($A8&lt;&gt;"",$K8&lt;&gt;"out")),"",IF(AND($K8="real",$E8&lt;&gt;"have"),"FINDING",""))</f>
        <v/>
      </c>
      <c r="P8" s="8" t="str">
        <f aca="false">IF(NOT(AND($A8&lt;&gt;"",$K8&lt;&gt;"out")),"",IF(AND($I8="external",NOT(ISNUMBER(SEARCH("write",$C8)))),"FINDING",""))</f>
        <v/>
      </c>
      <c r="Q8" s="8" t="str">
        <f aca="false">IF(NOT(AND($A8&lt;&gt;"",$K8&lt;&gt;"out")),"",TRIM(IF(OR(TRIM($F8)="",ISNUMBER(SEARCH("~?",$F8))),"Name the person who owns it. ","")&amp;IF(OR($E8="requested",$E8="none"),"Access: "&amp;$D8&amp;" ("&amp;$E8&amp;" today). ","")&amp;IF(ISNUMBER(SEARCH("write",$C8)),"Sign-off on the write policy: "&amp;$G8&amp;".","")))</f>
        <v/>
      </c>
      <c r="R8" s="8" t="str">
        <f aca="false">IF($A8="","",IF($K8="out","out: documented, not touched",$K8&amp;": "&amp;$L8))</f>
        <v/>
      </c>
    </row>
    <row r="9" customFormat="false" ht="43.5" hidden="false" customHeight="true" outlineLevel="0" collapsed="false">
      <c r="A9" s="7"/>
      <c r="B9" s="7"/>
      <c r="C9" s="7"/>
      <c r="D9" s="7"/>
      <c r="E9" s="7"/>
      <c r="F9" s="7"/>
      <c r="G9" s="7"/>
      <c r="H9" s="7"/>
      <c r="I9" s="7"/>
      <c r="J9" s="7" t="s">
        <v>43</v>
      </c>
      <c r="K9" s="7"/>
      <c r="L9" s="7"/>
      <c r="M9" s="8" t="str">
        <f aca="false">IF(NOT(AND($A9&lt;&gt;"",$K9&lt;&gt;"out")),"",IF(AND(COUNTIFS($J$6:$J$13,$J9,$K$6:$K$13,"&lt;&gt;out",$H$6:$H$13,"untrusted")&gt;0,COUNTIFS($J$6:$J$13,$J9,$K$6:$K$13,"&lt;&gt;out",$C$6:$C$13,"*read*")&gt;0,COUNTIFS($J$6:$J$13,$J9,$K$6:$K$13,"&lt;&gt;out",$I$6:$I$13,"external")&gt;0),IF($I9="external","FINDING: the way out","in a triangle session"),""))</f>
        <v/>
      </c>
      <c r="N9" s="8" t="str">
        <f aca="false">IF(NOT(AND($A9&lt;&gt;"",$K9&lt;&gt;"out")),"",IF(AND(ISNUMBER(SEARCH("write",$C9)),OR(TRIM($G9)="",LOWER(TRIM($G9))="n/a",LOWER(TRIM($G9))="-",LOWER(TRIM($G9))="none",LEFT(UPPER(TRIM($G9)),4)="TODO")),"FINDING",""))</f>
        <v/>
      </c>
      <c r="O9" s="8" t="str">
        <f aca="false">IF(NOT(AND($A9&lt;&gt;"",$K9&lt;&gt;"out")),"",IF(AND($K9="real",$E9&lt;&gt;"have"),"FINDING",""))</f>
        <v/>
      </c>
      <c r="P9" s="8" t="str">
        <f aca="false">IF(NOT(AND($A9&lt;&gt;"",$K9&lt;&gt;"out")),"",IF(AND($I9="external",NOT(ISNUMBER(SEARCH("write",$C9)))),"FINDING",""))</f>
        <v/>
      </c>
      <c r="Q9" s="8" t="str">
        <f aca="false">IF(NOT(AND($A9&lt;&gt;"",$K9&lt;&gt;"out")),"",TRIM(IF(OR(TRIM($F9)="",ISNUMBER(SEARCH("~?",$F9))),"Name the person who owns it. ","")&amp;IF(OR($E9="requested",$E9="none"),"Access: "&amp;$D9&amp;" ("&amp;$E9&amp;" today). ","")&amp;IF(ISNUMBER(SEARCH("write",$C9)),"Sign-off on the write policy: "&amp;$G9&amp;".","")))</f>
        <v/>
      </c>
      <c r="R9" s="8" t="str">
        <f aca="false">IF($A9="","",IF($K9="out","out: documented, not touched",$K9&amp;": "&amp;$L9))</f>
        <v/>
      </c>
    </row>
    <row r="10" customFormat="false" ht="43.5" hidden="false" customHeight="true" outlineLevel="0" collapsed="false">
      <c r="A10" s="7"/>
      <c r="B10" s="7"/>
      <c r="C10" s="7"/>
      <c r="D10" s="7"/>
      <c r="E10" s="7"/>
      <c r="F10" s="7"/>
      <c r="G10" s="7"/>
      <c r="H10" s="7"/>
      <c r="I10" s="7"/>
      <c r="J10" s="7" t="s">
        <v>43</v>
      </c>
      <c r="K10" s="7"/>
      <c r="L10" s="7"/>
      <c r="M10" s="8" t="str">
        <f aca="false">IF(NOT(AND($A10&lt;&gt;"",$K10&lt;&gt;"out")),"",IF(AND(COUNTIFS($J$6:$J$13,$J10,$K$6:$K$13,"&lt;&gt;out",$H$6:$H$13,"untrusted")&gt;0,COUNTIFS($J$6:$J$13,$J10,$K$6:$K$13,"&lt;&gt;out",$C$6:$C$13,"*read*")&gt;0,COUNTIFS($J$6:$J$13,$J10,$K$6:$K$13,"&lt;&gt;out",$I$6:$I$13,"external")&gt;0),IF($I10="external","FINDING: the way out","in a triangle session"),""))</f>
        <v/>
      </c>
      <c r="N10" s="8" t="str">
        <f aca="false">IF(NOT(AND($A10&lt;&gt;"",$K10&lt;&gt;"out")),"",IF(AND(ISNUMBER(SEARCH("write",$C10)),OR(TRIM($G10)="",LOWER(TRIM($G10))="n/a",LOWER(TRIM($G10))="-",LOWER(TRIM($G10))="none",LEFT(UPPER(TRIM($G10)),4)="TODO")),"FINDING",""))</f>
        <v/>
      </c>
      <c r="O10" s="8" t="str">
        <f aca="false">IF(NOT(AND($A10&lt;&gt;"",$K10&lt;&gt;"out")),"",IF(AND($K10="real",$E10&lt;&gt;"have"),"FINDING",""))</f>
        <v/>
      </c>
      <c r="P10" s="8" t="str">
        <f aca="false">IF(NOT(AND($A10&lt;&gt;"",$K10&lt;&gt;"out")),"",IF(AND($I10="external",NOT(ISNUMBER(SEARCH("write",$C10)))),"FINDING",""))</f>
        <v/>
      </c>
      <c r="Q10" s="8" t="str">
        <f aca="false">IF(NOT(AND($A10&lt;&gt;"",$K10&lt;&gt;"out")),"",TRIM(IF(OR(TRIM($F10)="",ISNUMBER(SEARCH("~?",$F10))),"Name the person who owns it. ","")&amp;IF(OR($E10="requested",$E10="none"),"Access: "&amp;$D10&amp;" ("&amp;$E10&amp;" today). ","")&amp;IF(ISNUMBER(SEARCH("write",$C10)),"Sign-off on the write policy: "&amp;$G10&amp;".","")))</f>
        <v/>
      </c>
      <c r="R10" s="8" t="str">
        <f aca="false">IF($A10="","",IF($K10="out","out: documented, not touched",$K10&amp;": "&amp;$L10))</f>
        <v/>
      </c>
    </row>
    <row r="11" customFormat="false" ht="43.5" hidden="false" customHeight="true" outlineLevel="0" collapsed="false">
      <c r="A11" s="7"/>
      <c r="B11" s="7"/>
      <c r="C11" s="7"/>
      <c r="D11" s="7"/>
      <c r="E11" s="7"/>
      <c r="F11" s="7"/>
      <c r="G11" s="7"/>
      <c r="H11" s="7"/>
      <c r="I11" s="7"/>
      <c r="J11" s="7" t="s">
        <v>43</v>
      </c>
      <c r="K11" s="7"/>
      <c r="L11" s="7"/>
      <c r="M11" s="8" t="str">
        <f aca="false">IF(NOT(AND($A11&lt;&gt;"",$K11&lt;&gt;"out")),"",IF(AND(COUNTIFS($J$6:$J$13,$J11,$K$6:$K$13,"&lt;&gt;out",$H$6:$H$13,"untrusted")&gt;0,COUNTIFS($J$6:$J$13,$J11,$K$6:$K$13,"&lt;&gt;out",$C$6:$C$13,"*read*")&gt;0,COUNTIFS($J$6:$J$13,$J11,$K$6:$K$13,"&lt;&gt;out",$I$6:$I$13,"external")&gt;0),IF($I11="external","FINDING: the way out","in a triangle session"),""))</f>
        <v/>
      </c>
      <c r="N11" s="8" t="str">
        <f aca="false">IF(NOT(AND($A11&lt;&gt;"",$K11&lt;&gt;"out")),"",IF(AND(ISNUMBER(SEARCH("write",$C11)),OR(TRIM($G11)="",LOWER(TRIM($G11))="n/a",LOWER(TRIM($G11))="-",LOWER(TRIM($G11))="none",LEFT(UPPER(TRIM($G11)),4)="TODO")),"FINDING",""))</f>
        <v/>
      </c>
      <c r="O11" s="8" t="str">
        <f aca="false">IF(NOT(AND($A11&lt;&gt;"",$K11&lt;&gt;"out")),"",IF(AND($K11="real",$E11&lt;&gt;"have"),"FINDING",""))</f>
        <v/>
      </c>
      <c r="P11" s="8" t="str">
        <f aca="false">IF(NOT(AND($A11&lt;&gt;"",$K11&lt;&gt;"out")),"",IF(AND($I11="external",NOT(ISNUMBER(SEARCH("write",$C11)))),"FINDING",""))</f>
        <v/>
      </c>
      <c r="Q11" s="8" t="str">
        <f aca="false">IF(NOT(AND($A11&lt;&gt;"",$K11&lt;&gt;"out")),"",TRIM(IF(OR(TRIM($F11)="",ISNUMBER(SEARCH("~?",$F11))),"Name the person who owns it. ","")&amp;IF(OR($E11="requested",$E11="none"),"Access: "&amp;$D11&amp;" ("&amp;$E11&amp;" today). ","")&amp;IF(ISNUMBER(SEARCH("write",$C11)),"Sign-off on the write policy: "&amp;$G11&amp;".","")))</f>
        <v/>
      </c>
      <c r="R11" s="8" t="str">
        <f aca="false">IF($A11="","",IF($K11="out","out: documented, not touched",$K11&amp;": "&amp;$L11))</f>
        <v/>
      </c>
    </row>
    <row r="12" customFormat="false" ht="43.5" hidden="false" customHeight="true" outlineLevel="0" collapsed="false">
      <c r="A12" s="7"/>
      <c r="B12" s="7"/>
      <c r="C12" s="7"/>
      <c r="D12" s="7"/>
      <c r="E12" s="7"/>
      <c r="F12" s="7"/>
      <c r="G12" s="7"/>
      <c r="H12" s="7"/>
      <c r="I12" s="7"/>
      <c r="J12" s="7" t="s">
        <v>43</v>
      </c>
      <c r="K12" s="7"/>
      <c r="L12" s="7"/>
      <c r="M12" s="8" t="str">
        <f aca="false">IF(NOT(AND($A12&lt;&gt;"",$K12&lt;&gt;"out")),"",IF(AND(COUNTIFS($J$6:$J$13,$J12,$K$6:$K$13,"&lt;&gt;out",$H$6:$H$13,"untrusted")&gt;0,COUNTIFS($J$6:$J$13,$J12,$K$6:$K$13,"&lt;&gt;out",$C$6:$C$13,"*read*")&gt;0,COUNTIFS($J$6:$J$13,$J12,$K$6:$K$13,"&lt;&gt;out",$I$6:$I$13,"external")&gt;0),IF($I12="external","FINDING: the way out","in a triangle session"),""))</f>
        <v/>
      </c>
      <c r="N12" s="8" t="str">
        <f aca="false">IF(NOT(AND($A12&lt;&gt;"",$K12&lt;&gt;"out")),"",IF(AND(ISNUMBER(SEARCH("write",$C12)),OR(TRIM($G12)="",LOWER(TRIM($G12))="n/a",LOWER(TRIM($G12))="-",LOWER(TRIM($G12))="none",LEFT(UPPER(TRIM($G12)),4)="TODO")),"FINDING",""))</f>
        <v/>
      </c>
      <c r="O12" s="8" t="str">
        <f aca="false">IF(NOT(AND($A12&lt;&gt;"",$K12&lt;&gt;"out")),"",IF(AND($K12="real",$E12&lt;&gt;"have"),"FINDING",""))</f>
        <v/>
      </c>
      <c r="P12" s="8" t="str">
        <f aca="false">IF(NOT(AND($A12&lt;&gt;"",$K12&lt;&gt;"out")),"",IF(AND($I12="external",NOT(ISNUMBER(SEARCH("write",$C12)))),"FINDING",""))</f>
        <v/>
      </c>
      <c r="Q12" s="8" t="str">
        <f aca="false">IF(NOT(AND($A12&lt;&gt;"",$K12&lt;&gt;"out")),"",TRIM(IF(OR(TRIM($F12)="",ISNUMBER(SEARCH("~?",$F12))),"Name the person who owns it. ","")&amp;IF(OR($E12="requested",$E12="none"),"Access: "&amp;$D12&amp;" ("&amp;$E12&amp;" today). ","")&amp;IF(ISNUMBER(SEARCH("write",$C12)),"Sign-off on the write policy: "&amp;$G12&amp;".","")))</f>
        <v/>
      </c>
      <c r="R12" s="8" t="str">
        <f aca="false">IF($A12="","",IF($K12="out","out: documented, not touched",$K12&amp;": "&amp;$L12))</f>
        <v/>
      </c>
    </row>
    <row r="13" customFormat="false" ht="43.5" hidden="false" customHeight="true" outlineLevel="0" collapsed="false">
      <c r="A13" s="7"/>
      <c r="B13" s="7"/>
      <c r="C13" s="7"/>
      <c r="D13" s="7"/>
      <c r="E13" s="7"/>
      <c r="F13" s="7"/>
      <c r="G13" s="7"/>
      <c r="H13" s="7"/>
      <c r="I13" s="7"/>
      <c r="J13" s="7" t="s">
        <v>43</v>
      </c>
      <c r="K13" s="7"/>
      <c r="L13" s="7"/>
      <c r="M13" s="8" t="str">
        <f aca="false">IF(NOT(AND($A13&lt;&gt;"",$K13&lt;&gt;"out")),"",IF(AND(COUNTIFS($J$6:$J$13,$J13,$K$6:$K$13,"&lt;&gt;out",$H$6:$H$13,"untrusted")&gt;0,COUNTIFS($J$6:$J$13,$J13,$K$6:$K$13,"&lt;&gt;out",$C$6:$C$13,"*read*")&gt;0,COUNTIFS($J$6:$J$13,$J13,$K$6:$K$13,"&lt;&gt;out",$I$6:$I$13,"external")&gt;0),IF($I13="external","FINDING: the way out","in a triangle session"),""))</f>
        <v/>
      </c>
      <c r="N13" s="8" t="str">
        <f aca="false">IF(NOT(AND($A13&lt;&gt;"",$K13&lt;&gt;"out")),"",IF(AND(ISNUMBER(SEARCH("write",$C13)),OR(TRIM($G13)="",LOWER(TRIM($G13))="n/a",LOWER(TRIM($G13))="-",LOWER(TRIM($G13))="none",LEFT(UPPER(TRIM($G13)),4)="TODO")),"FINDING",""))</f>
        <v/>
      </c>
      <c r="O13" s="8" t="str">
        <f aca="false">IF(NOT(AND($A13&lt;&gt;"",$K13&lt;&gt;"out")),"",IF(AND($K13="real",$E13&lt;&gt;"have"),"FINDING",""))</f>
        <v/>
      </c>
      <c r="P13" s="8" t="str">
        <f aca="false">IF(NOT(AND($A13&lt;&gt;"",$K13&lt;&gt;"out")),"",IF(AND($I13="external",NOT(ISNUMBER(SEARCH("write",$C13)))),"FINDING",""))</f>
        <v/>
      </c>
      <c r="Q13" s="8" t="str">
        <f aca="false">IF(NOT(AND($A13&lt;&gt;"",$K13&lt;&gt;"out")),"",TRIM(IF(OR(TRIM($F13)="",ISNUMBER(SEARCH("~?",$F13))),"Name the person who owns it. ","")&amp;IF(OR($E13="requested",$E13="none"),"Access: "&amp;$D13&amp;" ("&amp;$E13&amp;" today). ","")&amp;IF(ISNUMBER(SEARCH("write",$C13)),"Sign-off on the write policy: "&amp;$G13&amp;".","")))</f>
        <v/>
      </c>
      <c r="R13" s="8" t="str">
        <f aca="false">IF($A13="","",IF($K13="out","out: documented, not touched",$K13&amp;": "&amp;$L13))</f>
        <v/>
      </c>
    </row>
    <row r="15" customFormat="false" ht="15" hidden="false" customHeight="true" outlineLevel="0" collapsed="false">
      <c r="A15" s="9" t="s">
        <v>44</v>
      </c>
    </row>
    <row r="16" customFormat="false" ht="17.25" hidden="false" customHeight="true" outlineLevel="0" collapsed="false">
      <c r="A16" s="10" t="s">
        <v>45</v>
      </c>
      <c r="B16" s="8" t="n">
        <f aca="false">COUNTA(A6:A13)</f>
        <v>0</v>
      </c>
      <c r="D16" s="3" t="str">
        <f aca="false">IF(B16=0,"Nothing on the sheet yet.",IF(B22=0,"Nothing fired. On a sheet that is not finished that means the sheet is not finished, not that the design is clean.","Fix by changing one row: split the session, write the authority line, make the row a mock, or allowlist and pin the egress. A row leaves; a prompt does not improve."))</f>
        <v>Nothing on the sheet yet.</v>
      </c>
    </row>
    <row r="17" customFormat="false" ht="30.75" hidden="false" customHeight="true" outlineLevel="0" collapsed="false">
      <c r="A17" s="10" t="s">
        <v>46</v>
      </c>
      <c r="B17" s="8" t="n">
        <f aca="false">SUMPRODUCT(($A$6:$A$13&lt;&gt;"")*($A$6:$L$13=""))</f>
        <v>0</v>
      </c>
      <c r="D17" s="3" t="s">
        <v>47</v>
      </c>
    </row>
    <row r="18" customFormat="false" ht="17.25" hidden="false" customHeight="true" outlineLevel="0" collapsed="false">
      <c r="A18" s="10" t="s">
        <v>48</v>
      </c>
      <c r="B18" s="8" t="n">
        <f aca="false">COUNTIF(M6:M13,"FINDING*")</f>
        <v>0</v>
      </c>
      <c r="D18" s="3" t="s">
        <v>49</v>
      </c>
    </row>
    <row r="19" customFormat="false" ht="17.25" hidden="false" customHeight="true" outlineLevel="0" collapsed="false">
      <c r="A19" s="10" t="s">
        <v>50</v>
      </c>
      <c r="B19" s="8" t="n">
        <f aca="false">COUNTIF(N6:N13,"FINDING")</f>
        <v>0</v>
      </c>
    </row>
    <row r="20" customFormat="false" ht="17.25" hidden="false" customHeight="true" outlineLevel="0" collapsed="false">
      <c r="A20" s="10" t="s">
        <v>51</v>
      </c>
      <c r="B20" s="8" t="n">
        <f aca="false">COUNTIF(O6:O13,"FINDING")</f>
        <v>0</v>
      </c>
    </row>
    <row r="21" customFormat="false" ht="17.25" hidden="false" customHeight="true" outlineLevel="0" collapsed="false">
      <c r="A21" s="10" t="s">
        <v>52</v>
      </c>
      <c r="B21" s="8" t="n">
        <f aca="false">COUNTIF(P6:P13,"FINDING")</f>
        <v>0</v>
      </c>
    </row>
    <row r="22" customFormat="false" ht="17.25" hidden="false" customHeight="true" outlineLevel="0" collapsed="false">
      <c r="A22" s="10" t="s">
        <v>53</v>
      </c>
      <c r="B22" s="8" t="n">
        <f aca="false">SUM(B18:B21)</f>
        <v>0</v>
      </c>
    </row>
    <row r="23" customFormat="false" ht="17.25" hidden="false" customHeight="true" outlineLevel="0" collapsed="false">
      <c r="A23" s="10" t="s">
        <v>54</v>
      </c>
      <c r="B23" s="8" t="n">
        <f aca="false">COUNTIF(K6:K13,"real")</f>
        <v>0</v>
      </c>
    </row>
    <row r="24" customFormat="false" ht="17.25" hidden="false" customHeight="true" outlineLevel="0" collapsed="false">
      <c r="A24" s="10" t="s">
        <v>55</v>
      </c>
      <c r="B24" s="8" t="n">
        <f aca="false">COUNTIF(K6:K13,"mock")</f>
        <v>0</v>
      </c>
    </row>
    <row r="25" customFormat="false" ht="17.25" hidden="false" customHeight="true" outlineLevel="0" collapsed="false">
      <c r="A25" s="10" t="s">
        <v>56</v>
      </c>
      <c r="B25" s="8" t="n">
        <f aca="false">COUNTIF(K6:K13,"out")</f>
        <v>0</v>
      </c>
    </row>
    <row r="26" customFormat="false" ht="17.25" hidden="false" customHeight="true" outlineLevel="0" collapsed="false">
      <c r="A26" s="10" t="s">
        <v>57</v>
      </c>
      <c r="B26" s="8" t="n">
        <f aca="false">COUNTA(A6:A13)-B23-B24-B25</f>
        <v>0</v>
      </c>
    </row>
    <row r="29" customFormat="false" ht="15" hidden="false" customHeight="true" outlineLevel="0" collapsed="false">
      <c r="A29" s="9" t="s">
        <v>58</v>
      </c>
    </row>
    <row r="30" customFormat="false" ht="31.5" hidden="false" customHeight="true" outlineLevel="0" collapsed="false">
      <c r="A30" s="6" t="s">
        <v>59</v>
      </c>
      <c r="B30" s="6" t="s">
        <v>60</v>
      </c>
    </row>
    <row r="31" customFormat="false" ht="17.25" hidden="false" customHeight="true" outlineLevel="0" collapsed="false">
      <c r="A31" s="10" t="s">
        <v>61</v>
      </c>
      <c r="B31" s="11" t="s">
        <v>62</v>
      </c>
      <c r="C31" s="11"/>
      <c r="D31" s="11"/>
      <c r="E31" s="11"/>
      <c r="F31" s="11"/>
      <c r="G31" s="11"/>
    </row>
    <row r="32" customFormat="false" ht="17.25" hidden="false" customHeight="true" outlineLevel="0" collapsed="false">
      <c r="A32" s="10" t="s">
        <v>63</v>
      </c>
      <c r="B32" s="11" t="s">
        <v>64</v>
      </c>
      <c r="C32" s="11"/>
      <c r="D32" s="11"/>
      <c r="E32" s="11"/>
      <c r="F32" s="11"/>
      <c r="G32" s="11"/>
    </row>
    <row r="33" customFormat="false" ht="17.25" hidden="false" customHeight="true" outlineLevel="0" collapsed="false">
      <c r="A33" s="10" t="s">
        <v>65</v>
      </c>
      <c r="B33" s="11" t="s">
        <v>66</v>
      </c>
      <c r="C33" s="11"/>
      <c r="D33" s="11"/>
      <c r="E33" s="11"/>
      <c r="F33" s="11"/>
      <c r="G33" s="11"/>
    </row>
    <row r="34" customFormat="false" ht="17.25" hidden="false" customHeight="true" outlineLevel="0" collapsed="false">
      <c r="A34" s="10" t="s">
        <v>67</v>
      </c>
      <c r="B34" s="11" t="s">
        <v>68</v>
      </c>
      <c r="C34" s="11"/>
      <c r="D34" s="11"/>
      <c r="E34" s="11"/>
      <c r="F34" s="11"/>
      <c r="G34" s="11"/>
    </row>
    <row r="35" customFormat="false" ht="17.25" hidden="false" customHeight="true" outlineLevel="0" collapsed="false">
      <c r="A35" s="10" t="s">
        <v>69</v>
      </c>
      <c r="B35" s="11" t="s">
        <v>70</v>
      </c>
      <c r="C35" s="11"/>
      <c r="D35" s="11"/>
      <c r="E35" s="11"/>
      <c r="F35" s="11"/>
      <c r="G35" s="11"/>
    </row>
    <row r="36" customFormat="false" ht="17.25" hidden="false" customHeight="true" outlineLevel="0" collapsed="false">
      <c r="A36" s="10" t="s">
        <v>71</v>
      </c>
      <c r="B36" s="11" t="s">
        <v>72</v>
      </c>
      <c r="C36" s="11"/>
      <c r="D36" s="11"/>
      <c r="E36" s="11"/>
      <c r="F36" s="11"/>
      <c r="G36" s="11"/>
    </row>
    <row r="37" customFormat="false" ht="17.25" hidden="false" customHeight="true" outlineLevel="0" collapsed="false">
      <c r="A37" s="10" t="s">
        <v>73</v>
      </c>
      <c r="B37" s="11" t="s">
        <v>74</v>
      </c>
      <c r="C37" s="11"/>
      <c r="D37" s="11"/>
      <c r="E37" s="11"/>
      <c r="F37" s="11"/>
      <c r="G37" s="11"/>
    </row>
  </sheetData>
  <mergeCells count="7">
    <mergeCell ref="B31:G31"/>
    <mergeCell ref="B32:G32"/>
    <mergeCell ref="B33:G33"/>
    <mergeCell ref="B34:G34"/>
    <mergeCell ref="B35:G35"/>
    <mergeCell ref="B36:G36"/>
    <mergeCell ref="B37:G37"/>
  </mergeCells>
  <conditionalFormatting sqref="M6:P13">
    <cfRule type="expression" priority="2" aboveAverage="0" equalAverage="0" bottom="0" percent="0" rank="0" text="" dxfId="0">
      <formula>LEFT(M6,7)="FINDING"</formula>
    </cfRule>
    <cfRule type="expression" priority="3" aboveAverage="0" equalAverage="0" bottom="0" percent="0" rank="0" text="" dxfId="1">
      <formula>M6="in a triangle session"</formula>
    </cfRule>
  </conditionalFormatting>
  <conditionalFormatting sqref="B22">
    <cfRule type="cellIs" priority="4" operator="greaterThan" aboveAverage="0" equalAverage="0" bottom="0" percent="0" rank="0" text="" dxfId="0">
      <formula>0</formula>
    </cfRule>
  </conditionalFormatting>
  <dataValidations count="5">
    <dataValidation allowBlank="true" error="Allowed values: read, write, read+write, call" errorStyle="stop" errorTitle="Pick from the list" operator="between" showDropDown="false" showErrorMessage="true" showInputMessage="false" sqref="C6:C13" type="list">
      <formula1>"read,write,read+write,call"</formula1>
      <formula2>0</formula2>
    </dataValidation>
    <dataValidation allowBlank="true" error="Allowed values: have, requested, none" errorStyle="stop" errorTitle="Pick from the list" operator="between" showDropDown="false" showErrorMessage="true" showInputMessage="false" sqref="E6:E13" type="list">
      <formula1>"have,requested,none"</formula1>
      <formula2>0</formula2>
    </dataValidation>
    <dataValidation allowBlank="true" error="Allowed values: trusted, untrusted" errorStyle="stop" errorTitle="Pick from the list" operator="between" showDropDown="false" showErrorMessage="true" showInputMessage="false" sqref="H6:H13" type="list">
      <formula1>"trusted,untrusted"</formula1>
      <formula2>0</formula2>
    </dataValidation>
    <dataValidation allowBlank="true" error="Allowed values: none, internal, external" errorStyle="stop" errorTitle="Pick from the list" operator="between" showDropDown="false" showErrorMessage="true" showInputMessage="false" sqref="I6:I13" type="list">
      <formula1>"none,internal,external"</formula1>
      <formula2>0</formula2>
    </dataValidation>
    <dataValidation allowBlank="true" error="Allowed values: real, mock, out" errorStyle="stop" errorTitle="Pick from the list" operator="between" showDropDown="false" showErrorMessage="true" showInputMessage="false" sqref="K6:K13" type="list">
      <formula1>"real,mock,out"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20"/>
    <col collapsed="false" customWidth="true" hidden="false" outlineLevel="0" max="3" min="3" style="1" width="11"/>
    <col collapsed="false" customWidth="true" hidden="false" outlineLevel="0" max="4" min="4" style="1" width="26"/>
    <col collapsed="false" customWidth="true" hidden="false" outlineLevel="0" max="5" min="5" style="1" width="11"/>
    <col collapsed="false" customWidth="true" hidden="false" outlineLevel="0" max="6" min="6" style="1" width="24"/>
    <col collapsed="false" customWidth="true" hidden="false" outlineLevel="0" max="7" min="7" style="1" width="30"/>
    <col collapsed="false" customWidth="true" hidden="false" outlineLevel="0" max="8" min="8" style="1" width="12"/>
    <col collapsed="false" customWidth="true" hidden="false" outlineLevel="0" max="9" min="9" style="1" width="11"/>
    <col collapsed="false" customWidth="true" hidden="false" outlineLevel="0" max="10" min="10" style="1" width="10"/>
    <col collapsed="false" customWidth="true" hidden="false" outlineLevel="0" max="11" min="11" style="1" width="9"/>
    <col collapsed="false" customWidth="true" hidden="false" outlineLevel="0" max="12" min="12" style="1" width="34"/>
    <col collapsed="false" customWidth="true" hidden="false" outlineLevel="0" max="16" min="13" style="1" width="15"/>
    <col collapsed="false" customWidth="true" hidden="false" outlineLevel="0" max="17" min="17" style="1" width="44"/>
    <col collapsed="false" customWidth="true" hidden="false" outlineLevel="0" max="18" min="18" style="1" width="52"/>
  </cols>
  <sheetData>
    <row r="1" customFormat="false" ht="19.5" hidden="false" customHeight="true" outlineLevel="0" collapsed="false">
      <c r="A1" s="2" t="s">
        <v>22</v>
      </c>
    </row>
    <row r="2" customFormat="false" ht="15" hidden="false" customHeight="true" outlineLevel="0" collapsed="false">
      <c r="A2" s="3" t="s">
        <v>75</v>
      </c>
    </row>
    <row r="3" customFormat="false" ht="15" hidden="false" customHeight="true" outlineLevel="0" collapsed="false">
      <c r="A3" s="3" t="s">
        <v>24</v>
      </c>
    </row>
    <row r="5" customFormat="false" ht="43.5" hidden="false" customHeight="true" outlineLevel="0" collapsed="false">
      <c r="A5" s="6" t="s">
        <v>25</v>
      </c>
      <c r="B5" s="6" t="s">
        <v>26</v>
      </c>
      <c r="C5" s="6" t="s">
        <v>27</v>
      </c>
      <c r="D5" s="6" t="s">
        <v>28</v>
      </c>
      <c r="E5" s="6" t="s">
        <v>29</v>
      </c>
      <c r="F5" s="6" t="s">
        <v>30</v>
      </c>
      <c r="G5" s="6" t="s">
        <v>31</v>
      </c>
      <c r="H5" s="6" t="s">
        <v>32</v>
      </c>
      <c r="I5" s="6" t="s">
        <v>33</v>
      </c>
      <c r="J5" s="6" t="s">
        <v>34</v>
      </c>
      <c r="K5" s="6" t="s">
        <v>35</v>
      </c>
      <c r="L5" s="6" t="s">
        <v>36</v>
      </c>
      <c r="M5" s="6" t="s">
        <v>37</v>
      </c>
      <c r="N5" s="6" t="s">
        <v>38</v>
      </c>
      <c r="O5" s="6" t="s">
        <v>39</v>
      </c>
      <c r="P5" s="6" t="s">
        <v>40</v>
      </c>
      <c r="Q5" s="6" t="s">
        <v>41</v>
      </c>
      <c r="R5" s="6" t="s">
        <v>42</v>
      </c>
    </row>
    <row r="6" customFormat="false" ht="43.5" hidden="false" customHeight="true" outlineLevel="0" collapsed="false">
      <c r="A6" s="7" t="s">
        <v>76</v>
      </c>
      <c r="B6" s="7" t="s">
        <v>77</v>
      </c>
      <c r="C6" s="7" t="s">
        <v>78</v>
      </c>
      <c r="D6" s="7" t="s">
        <v>79</v>
      </c>
      <c r="E6" s="7" t="s">
        <v>80</v>
      </c>
      <c r="F6" s="7" t="s">
        <v>81</v>
      </c>
      <c r="G6" s="7" t="s">
        <v>82</v>
      </c>
      <c r="H6" s="7" t="s">
        <v>83</v>
      </c>
      <c r="I6" s="7" t="s">
        <v>84</v>
      </c>
      <c r="J6" s="7" t="s">
        <v>43</v>
      </c>
      <c r="K6" s="7" t="s">
        <v>85</v>
      </c>
      <c r="L6" s="7" t="s">
        <v>86</v>
      </c>
      <c r="M6" s="8" t="str">
        <f aca="false">IF(NOT(AND($A6&lt;&gt;"",$K6&lt;&gt;"out")),"",IF(AND(COUNTIFS($J$6:$J$13,$J6,$K$6:$K$13,"&lt;&gt;out",$H$6:$H$13,"untrusted")&gt;0,COUNTIFS($J$6:$J$13,$J6,$K$6:$K$13,"&lt;&gt;out",$C$6:$C$13,"*read*")&gt;0,COUNTIFS($J$6:$J$13,$J6,$K$6:$K$13,"&lt;&gt;out",$I$6:$I$13,"external")&gt;0),IF($I6="external","FINDING: the way out","in a triangle session"),""))</f>
        <v>in a triangle session</v>
      </c>
      <c r="N6" s="8" t="str">
        <f aca="false">IF(NOT(AND($A6&lt;&gt;"",$K6&lt;&gt;"out")),"",IF(AND(ISNUMBER(SEARCH("write",$C6)),OR(TRIM($G6)="",LOWER(TRIM($G6))="n/a",LOWER(TRIM($G6))="-",LOWER(TRIM($G6))="none",LEFT(UPPER(TRIM($G6)),4)="TODO")),"FINDING",""))</f>
        <v/>
      </c>
      <c r="O6" s="8" t="str">
        <f aca="false">IF(NOT(AND($A6&lt;&gt;"",$K6&lt;&gt;"out")),"",IF(AND($K6="real",$E6&lt;&gt;"have"),"FINDING",""))</f>
        <v/>
      </c>
      <c r="P6" s="8" t="str">
        <f aca="false">IF(NOT(AND($A6&lt;&gt;"",$K6&lt;&gt;"out")),"",IF(AND($I6="external",NOT(ISNUMBER(SEARCH("write",$C6)))),"FINDING",""))</f>
        <v/>
      </c>
      <c r="Q6" s="8" t="str">
        <f aca="false">IF(NOT(AND($A6&lt;&gt;"",$K6&lt;&gt;"out")),"",TRIM(IF(OR(TRIM($F6)="",ISNUMBER(SEARCH("~?",$F6))),"Name the person who owns it. ","")&amp;IF(OR($E6="requested",$E6="none"),"Access: "&amp;$D6&amp;" ("&amp;$E6&amp;" today). ","")&amp;IF(ISNUMBER(SEARCH("write",$C6)),"Sign-off on the write policy: "&amp;$G6&amp;".","")))</f>
        <v>Sign-off on the write policy: 3 named tickets, open -&gt; in_progress, max 2 writes.</v>
      </c>
      <c r="R6" s="8" t="str">
        <f aca="false">IF($A6="","",IF($K6="out","out: documented, not touched",$K6&amp;": "&amp;$L6))</f>
        <v>real: none. It is a JSON file we own</v>
      </c>
    </row>
    <row r="7" customFormat="false" ht="43.5" hidden="false" customHeight="true" outlineLevel="0" collapsed="false">
      <c r="A7" s="7" t="s">
        <v>87</v>
      </c>
      <c r="B7" s="7" t="s">
        <v>88</v>
      </c>
      <c r="C7" s="7" t="s">
        <v>89</v>
      </c>
      <c r="D7" s="7" t="s">
        <v>90</v>
      </c>
      <c r="E7" s="7" t="s">
        <v>80</v>
      </c>
      <c r="F7" s="7" t="s">
        <v>91</v>
      </c>
      <c r="G7" s="7" t="s">
        <v>92</v>
      </c>
      <c r="H7" s="7" t="s">
        <v>83</v>
      </c>
      <c r="I7" s="7" t="s">
        <v>93</v>
      </c>
      <c r="J7" s="7" t="s">
        <v>43</v>
      </c>
      <c r="K7" s="7" t="s">
        <v>85</v>
      </c>
      <c r="L7" s="7" t="s">
        <v>94</v>
      </c>
      <c r="M7" s="8" t="str">
        <f aca="false">IF(NOT(AND($A7&lt;&gt;"",$K7&lt;&gt;"out")),"",IF(AND(COUNTIFS($J$6:$J$13,$J7,$K$6:$K$13,"&lt;&gt;out",$H$6:$H$13,"untrusted")&gt;0,COUNTIFS($J$6:$J$13,$J7,$K$6:$K$13,"&lt;&gt;out",$C$6:$C$13,"*read*")&gt;0,COUNTIFS($J$6:$J$13,$J7,$K$6:$K$13,"&lt;&gt;out",$I$6:$I$13,"external")&gt;0),IF($I7="external","FINDING: the way out","in a triangle session"),""))</f>
        <v>in a triangle session</v>
      </c>
      <c r="N7" s="8" t="str">
        <f aca="false">IF(NOT(AND($A7&lt;&gt;"",$K7&lt;&gt;"out")),"",IF(AND(ISNUMBER(SEARCH("write",$C7)),OR(TRIM($G7)="",LOWER(TRIM($G7))="n/a",LOWER(TRIM($G7))="-",LOWER(TRIM($G7))="none",LEFT(UPPER(TRIM($G7)),4)="TODO")),"FINDING",""))</f>
        <v/>
      </c>
      <c r="O7" s="8" t="str">
        <f aca="false">IF(NOT(AND($A7&lt;&gt;"",$K7&lt;&gt;"out")),"",IF(AND($K7="real",$E7&lt;&gt;"have"),"FINDING",""))</f>
        <v/>
      </c>
      <c r="P7" s="8" t="str">
        <f aca="false">IF(NOT(AND($A7&lt;&gt;"",$K7&lt;&gt;"out")),"",IF(AND($I7="external",NOT(ISNUMBER(SEARCH("write",$C7)))),"FINDING",""))</f>
        <v/>
      </c>
      <c r="Q7" s="8" t="str">
        <f aca="false">IF(NOT(AND($A7&lt;&gt;"",$K7&lt;&gt;"out")),"",TRIM(IF(OR(TRIM($F7)="",ISNUMBER(SEARCH("~?",$F7))),"Name the person who owns it. ","")&amp;IF(OR($E7="requested",$E7="none"),"Access: "&amp;$D7&amp;" ("&amp;$E7&amp;" today). ","")&amp;IF(ISNUMBER(SEARCH("write",$C7)),"Sign-off on the write policy: "&amp;$G7&amp;".","")))</f>
        <v/>
      </c>
      <c r="R7" s="8" t="str">
        <f aca="false">IF($A7="","",IF($K7="out","out: documented, not touched",$K7&amp;": "&amp;$L7))</f>
        <v>real: the real library has per-folder permissions</v>
      </c>
    </row>
    <row r="8" customFormat="false" ht="43.5" hidden="false" customHeight="true" outlineLevel="0" collapsed="false">
      <c r="A8" s="7" t="s">
        <v>95</v>
      </c>
      <c r="B8" s="7" t="s">
        <v>96</v>
      </c>
      <c r="C8" s="7" t="s">
        <v>89</v>
      </c>
      <c r="D8" s="7" t="s">
        <v>97</v>
      </c>
      <c r="E8" s="7" t="s">
        <v>80</v>
      </c>
      <c r="F8" s="7" t="s">
        <v>98</v>
      </c>
      <c r="G8" s="7" t="s">
        <v>99</v>
      </c>
      <c r="H8" s="7" t="s">
        <v>100</v>
      </c>
      <c r="I8" s="7" t="s">
        <v>101</v>
      </c>
      <c r="J8" s="7" t="s">
        <v>43</v>
      </c>
      <c r="K8" s="7" t="s">
        <v>102</v>
      </c>
      <c r="L8" s="7" t="s">
        <v>103</v>
      </c>
      <c r="M8" s="8" t="str">
        <f aca="false">IF(NOT(AND($A8&lt;&gt;"",$K8&lt;&gt;"out")),"",IF(AND(COUNTIFS($J$6:$J$13,$J8,$K$6:$K$13,"&lt;&gt;out",$H$6:$H$13,"untrusted")&gt;0,COUNTIFS($J$6:$J$13,$J8,$K$6:$K$13,"&lt;&gt;out",$C$6:$C$13,"*read*")&gt;0,COUNTIFS($J$6:$J$13,$J8,$K$6:$K$13,"&lt;&gt;out",$I$6:$I$13,"external")&gt;0),IF($I8="external","FINDING: the way out","in a triangle session"),""))</f>
        <v>FINDING: the way out</v>
      </c>
      <c r="N8" s="8" t="str">
        <f aca="false">IF(NOT(AND($A8&lt;&gt;"",$K8&lt;&gt;"out")),"",IF(AND(ISNUMBER(SEARCH("write",$C8)),OR(TRIM($G8)="",LOWER(TRIM($G8))="n/a",LOWER(TRIM($G8))="-",LOWER(TRIM($G8))="none",LEFT(UPPER(TRIM($G8)),4)="TODO")),"FINDING",""))</f>
        <v/>
      </c>
      <c r="O8" s="8" t="str">
        <f aca="false">IF(NOT(AND($A8&lt;&gt;"",$K8&lt;&gt;"out")),"",IF(AND($K8="real",$E8&lt;&gt;"have"),"FINDING",""))</f>
        <v/>
      </c>
      <c r="P8" s="8" t="str">
        <f aca="false">IF(NOT(AND($A8&lt;&gt;"",$K8&lt;&gt;"out")),"",IF(AND($I8="external",NOT(ISNUMBER(SEARCH("write",$C8)))),"FINDING",""))</f>
        <v>FINDING</v>
      </c>
      <c r="Q8" s="8" t="str">
        <f aca="false">IF(NOT(AND($A8&lt;&gt;"",$K8&lt;&gt;"out")),"",TRIM(IF(OR(TRIM($F8)="",ISNUMBER(SEARCH("~?",$F8))),"Name the person who owns it. ","")&amp;IF(OR($E8="requested",$E8="none"),"Access: "&amp;$D8&amp;" ("&amp;$E8&amp;" today). ","")&amp;IF(ISNUMBER(SEARCH("write",$C8)),"Sign-off on the write policy: "&amp;$G8&amp;".","")))</f>
        <v/>
      </c>
      <c r="R8" s="8" t="str">
        <f aca="false">IF($A8="","",IF($K8="out","out: documented, not touched",$K8&amp;": "&amp;$L8))</f>
        <v>mock: a named owner and a pinned version</v>
      </c>
    </row>
    <row r="9" customFormat="false" ht="43.5" hidden="false" customHeight="true" outlineLevel="0" collapsed="false">
      <c r="A9" s="7" t="s">
        <v>104</v>
      </c>
      <c r="B9" s="7" t="s">
        <v>105</v>
      </c>
      <c r="C9" s="7" t="s">
        <v>106</v>
      </c>
      <c r="D9" s="7" t="s">
        <v>107</v>
      </c>
      <c r="E9" s="7" t="s">
        <v>80</v>
      </c>
      <c r="F9" s="7" t="s">
        <v>108</v>
      </c>
      <c r="G9" s="7" t="s">
        <v>109</v>
      </c>
      <c r="H9" s="7" t="s">
        <v>100</v>
      </c>
      <c r="I9" s="7" t="s">
        <v>93</v>
      </c>
      <c r="J9" s="7" t="s">
        <v>43</v>
      </c>
      <c r="K9" s="7" t="s">
        <v>85</v>
      </c>
      <c r="L9" s="7" t="s">
        <v>110</v>
      </c>
      <c r="M9" s="8" t="str">
        <f aca="false">IF(NOT(AND($A9&lt;&gt;"",$K9&lt;&gt;"out")),"",IF(AND(COUNTIFS($J$6:$J$13,$J9,$K$6:$K$13,"&lt;&gt;out",$H$6:$H$13,"untrusted")&gt;0,COUNTIFS($J$6:$J$13,$J9,$K$6:$K$13,"&lt;&gt;out",$C$6:$C$13,"*read*")&gt;0,COUNTIFS($J$6:$J$13,$J9,$K$6:$K$13,"&lt;&gt;out",$I$6:$I$13,"external")&gt;0),IF($I9="external","FINDING: the way out","in a triangle session"),""))</f>
        <v>in a triangle session</v>
      </c>
      <c r="N9" s="8" t="str">
        <f aca="false">IF(NOT(AND($A9&lt;&gt;"",$K9&lt;&gt;"out")),"",IF(AND(ISNUMBER(SEARCH("write",$C9)),OR(TRIM($G9)="",LOWER(TRIM($G9))="n/a",LOWER(TRIM($G9))="-",LOWER(TRIM($G9))="none",LEFT(UPPER(TRIM($G9)),4)="TODO")),"FINDING",""))</f>
        <v/>
      </c>
      <c r="O9" s="8" t="str">
        <f aca="false">IF(NOT(AND($A9&lt;&gt;"",$K9&lt;&gt;"out")),"",IF(AND($K9="real",$E9&lt;&gt;"have"),"FINDING",""))</f>
        <v/>
      </c>
      <c r="P9" s="8" t="str">
        <f aca="false">IF(NOT(AND($A9&lt;&gt;"",$K9&lt;&gt;"out")),"",IF(AND($I9="external",NOT(ISNUMBER(SEARCH("write",$C9)))),"FINDING",""))</f>
        <v/>
      </c>
      <c r="Q9" s="8" t="str">
        <f aca="false">IF(NOT(AND($A9&lt;&gt;"",$K9&lt;&gt;"out")),"",TRIM(IF(OR(TRIM($F9)="",ISNUMBER(SEARCH("~?",$F9))),"Name the person who owns it. ","")&amp;IF(OR($E9="requested",$E9="none"),"Access: "&amp;$D9&amp;" ("&amp;$E9&amp;" today). ","")&amp;IF(ISNUMBER(SEARCH("write",$C9)),"Sign-off on the write policy: "&amp;$G9&amp;".","")))</f>
        <v/>
      </c>
      <c r="R9" s="8" t="str">
        <f aca="false">IF($A9="","",IF($K9="out","out: documented, not touched",$K9&amp;": "&amp;$L9))</f>
        <v>real: data classification sign-off, and a named key owner</v>
      </c>
    </row>
    <row r="10" customFormat="false" ht="43.5" hidden="false" customHeight="true" outlineLevel="0" collapsed="false">
      <c r="A10" s="7"/>
      <c r="B10" s="7"/>
      <c r="C10" s="7"/>
      <c r="D10" s="7"/>
      <c r="E10" s="7"/>
      <c r="F10" s="7"/>
      <c r="G10" s="7"/>
      <c r="H10" s="7"/>
      <c r="I10" s="7"/>
      <c r="J10" s="7" t="s">
        <v>43</v>
      </c>
      <c r="K10" s="7"/>
      <c r="L10" s="7"/>
      <c r="M10" s="8" t="str">
        <f aca="false">IF(NOT(AND($A10&lt;&gt;"",$K10&lt;&gt;"out")),"",IF(AND(COUNTIFS($J$6:$J$13,$J10,$K$6:$K$13,"&lt;&gt;out",$H$6:$H$13,"untrusted")&gt;0,COUNTIFS($J$6:$J$13,$J10,$K$6:$K$13,"&lt;&gt;out",$C$6:$C$13,"*read*")&gt;0,COUNTIFS($J$6:$J$13,$J10,$K$6:$K$13,"&lt;&gt;out",$I$6:$I$13,"external")&gt;0),IF($I10="external","FINDING: the way out","in a triangle session"),""))</f>
        <v/>
      </c>
      <c r="N10" s="8" t="str">
        <f aca="false">IF(NOT(AND($A10&lt;&gt;"",$K10&lt;&gt;"out")),"",IF(AND(ISNUMBER(SEARCH("write",$C10)),OR(TRIM($G10)="",LOWER(TRIM($G10))="n/a",LOWER(TRIM($G10))="-",LOWER(TRIM($G10))="none",LEFT(UPPER(TRIM($G10)),4)="TODO")),"FINDING",""))</f>
        <v/>
      </c>
      <c r="O10" s="8" t="str">
        <f aca="false">IF(NOT(AND($A10&lt;&gt;"",$K10&lt;&gt;"out")),"",IF(AND($K10="real",$E10&lt;&gt;"have"),"FINDING",""))</f>
        <v/>
      </c>
      <c r="P10" s="8" t="str">
        <f aca="false">IF(NOT(AND($A10&lt;&gt;"",$K10&lt;&gt;"out")),"",IF(AND($I10="external",NOT(ISNUMBER(SEARCH("write",$C10)))),"FINDING",""))</f>
        <v/>
      </c>
      <c r="Q10" s="8" t="str">
        <f aca="false">IF(NOT(AND($A10&lt;&gt;"",$K10&lt;&gt;"out")),"",TRIM(IF(OR(TRIM($F10)="",ISNUMBER(SEARCH("~?",$F10))),"Name the person who owns it. ","")&amp;IF(OR($E10="requested",$E10="none"),"Access: "&amp;$D10&amp;" ("&amp;$E10&amp;" today). ","")&amp;IF(ISNUMBER(SEARCH("write",$C10)),"Sign-off on the write policy: "&amp;$G10&amp;".","")))</f>
        <v/>
      </c>
      <c r="R10" s="8" t="str">
        <f aca="false">IF($A10="","",IF($K10="out","out: documented, not touched",$K10&amp;": "&amp;$L10))</f>
        <v/>
      </c>
    </row>
    <row r="11" customFormat="false" ht="43.5" hidden="false" customHeight="true" outlineLevel="0" collapsed="false">
      <c r="A11" s="7"/>
      <c r="B11" s="7"/>
      <c r="C11" s="7"/>
      <c r="D11" s="7"/>
      <c r="E11" s="7"/>
      <c r="F11" s="7"/>
      <c r="G11" s="7"/>
      <c r="H11" s="7"/>
      <c r="I11" s="7"/>
      <c r="J11" s="7" t="s">
        <v>43</v>
      </c>
      <c r="K11" s="7"/>
      <c r="L11" s="7"/>
      <c r="M11" s="8" t="str">
        <f aca="false">IF(NOT(AND($A11&lt;&gt;"",$K11&lt;&gt;"out")),"",IF(AND(COUNTIFS($J$6:$J$13,$J11,$K$6:$K$13,"&lt;&gt;out",$H$6:$H$13,"untrusted")&gt;0,COUNTIFS($J$6:$J$13,$J11,$K$6:$K$13,"&lt;&gt;out",$C$6:$C$13,"*read*")&gt;0,COUNTIFS($J$6:$J$13,$J11,$K$6:$K$13,"&lt;&gt;out",$I$6:$I$13,"external")&gt;0),IF($I11="external","FINDING: the way out","in a triangle session"),""))</f>
        <v/>
      </c>
      <c r="N11" s="8" t="str">
        <f aca="false">IF(NOT(AND($A11&lt;&gt;"",$K11&lt;&gt;"out")),"",IF(AND(ISNUMBER(SEARCH("write",$C11)),OR(TRIM($G11)="",LOWER(TRIM($G11))="n/a",LOWER(TRIM($G11))="-",LOWER(TRIM($G11))="none",LEFT(UPPER(TRIM($G11)),4)="TODO")),"FINDING",""))</f>
        <v/>
      </c>
      <c r="O11" s="8" t="str">
        <f aca="false">IF(NOT(AND($A11&lt;&gt;"",$K11&lt;&gt;"out")),"",IF(AND($K11="real",$E11&lt;&gt;"have"),"FINDING",""))</f>
        <v/>
      </c>
      <c r="P11" s="8" t="str">
        <f aca="false">IF(NOT(AND($A11&lt;&gt;"",$K11&lt;&gt;"out")),"",IF(AND($I11="external",NOT(ISNUMBER(SEARCH("write",$C11)))),"FINDING",""))</f>
        <v/>
      </c>
      <c r="Q11" s="8" t="str">
        <f aca="false">IF(NOT(AND($A11&lt;&gt;"",$K11&lt;&gt;"out")),"",TRIM(IF(OR(TRIM($F11)="",ISNUMBER(SEARCH("~?",$F11))),"Name the person who owns it. ","")&amp;IF(OR($E11="requested",$E11="none"),"Access: "&amp;$D11&amp;" ("&amp;$E11&amp;" today). ","")&amp;IF(ISNUMBER(SEARCH("write",$C11)),"Sign-off on the write policy: "&amp;$G11&amp;".","")))</f>
        <v/>
      </c>
      <c r="R11" s="8" t="str">
        <f aca="false">IF($A11="","",IF($K11="out","out: documented, not touched",$K11&amp;": "&amp;$L11))</f>
        <v/>
      </c>
    </row>
    <row r="12" customFormat="false" ht="43.5" hidden="false" customHeight="true" outlineLevel="0" collapsed="false">
      <c r="A12" s="7"/>
      <c r="B12" s="7"/>
      <c r="C12" s="7"/>
      <c r="D12" s="7"/>
      <c r="E12" s="7"/>
      <c r="F12" s="7"/>
      <c r="G12" s="7"/>
      <c r="H12" s="7"/>
      <c r="I12" s="7"/>
      <c r="J12" s="7" t="s">
        <v>43</v>
      </c>
      <c r="K12" s="7"/>
      <c r="L12" s="7"/>
      <c r="M12" s="8" t="str">
        <f aca="false">IF(NOT(AND($A12&lt;&gt;"",$K12&lt;&gt;"out")),"",IF(AND(COUNTIFS($J$6:$J$13,$J12,$K$6:$K$13,"&lt;&gt;out",$H$6:$H$13,"untrusted")&gt;0,COUNTIFS($J$6:$J$13,$J12,$K$6:$K$13,"&lt;&gt;out",$C$6:$C$13,"*read*")&gt;0,COUNTIFS($J$6:$J$13,$J12,$K$6:$K$13,"&lt;&gt;out",$I$6:$I$13,"external")&gt;0),IF($I12="external","FINDING: the way out","in a triangle session"),""))</f>
        <v/>
      </c>
      <c r="N12" s="8" t="str">
        <f aca="false">IF(NOT(AND($A12&lt;&gt;"",$K12&lt;&gt;"out")),"",IF(AND(ISNUMBER(SEARCH("write",$C12)),OR(TRIM($G12)="",LOWER(TRIM($G12))="n/a",LOWER(TRIM($G12))="-",LOWER(TRIM($G12))="none",LEFT(UPPER(TRIM($G12)),4)="TODO")),"FINDING",""))</f>
        <v/>
      </c>
      <c r="O12" s="8" t="str">
        <f aca="false">IF(NOT(AND($A12&lt;&gt;"",$K12&lt;&gt;"out")),"",IF(AND($K12="real",$E12&lt;&gt;"have"),"FINDING",""))</f>
        <v/>
      </c>
      <c r="P12" s="8" t="str">
        <f aca="false">IF(NOT(AND($A12&lt;&gt;"",$K12&lt;&gt;"out")),"",IF(AND($I12="external",NOT(ISNUMBER(SEARCH("write",$C12)))),"FINDING",""))</f>
        <v/>
      </c>
      <c r="Q12" s="8" t="str">
        <f aca="false">IF(NOT(AND($A12&lt;&gt;"",$K12&lt;&gt;"out")),"",TRIM(IF(OR(TRIM($F12)="",ISNUMBER(SEARCH("~?",$F12))),"Name the person who owns it. ","")&amp;IF(OR($E12="requested",$E12="none"),"Access: "&amp;$D12&amp;" ("&amp;$E12&amp;" today). ","")&amp;IF(ISNUMBER(SEARCH("write",$C12)),"Sign-off on the write policy: "&amp;$G12&amp;".","")))</f>
        <v/>
      </c>
      <c r="R12" s="8" t="str">
        <f aca="false">IF($A12="","",IF($K12="out","out: documented, not touched",$K12&amp;": "&amp;$L12))</f>
        <v/>
      </c>
    </row>
    <row r="13" customFormat="false" ht="43.5" hidden="false" customHeight="true" outlineLevel="0" collapsed="false">
      <c r="A13" s="7"/>
      <c r="B13" s="7"/>
      <c r="C13" s="7"/>
      <c r="D13" s="7"/>
      <c r="E13" s="7"/>
      <c r="F13" s="7"/>
      <c r="G13" s="7"/>
      <c r="H13" s="7"/>
      <c r="I13" s="7"/>
      <c r="J13" s="7" t="s">
        <v>43</v>
      </c>
      <c r="K13" s="7"/>
      <c r="L13" s="7"/>
      <c r="M13" s="8" t="str">
        <f aca="false">IF(NOT(AND($A13&lt;&gt;"",$K13&lt;&gt;"out")),"",IF(AND(COUNTIFS($J$6:$J$13,$J13,$K$6:$K$13,"&lt;&gt;out",$H$6:$H$13,"untrusted")&gt;0,COUNTIFS($J$6:$J$13,$J13,$K$6:$K$13,"&lt;&gt;out",$C$6:$C$13,"*read*")&gt;0,COUNTIFS($J$6:$J$13,$J13,$K$6:$K$13,"&lt;&gt;out",$I$6:$I$13,"external")&gt;0),IF($I13="external","FINDING: the way out","in a triangle session"),""))</f>
        <v/>
      </c>
      <c r="N13" s="8" t="str">
        <f aca="false">IF(NOT(AND($A13&lt;&gt;"",$K13&lt;&gt;"out")),"",IF(AND(ISNUMBER(SEARCH("write",$C13)),OR(TRIM($G13)="",LOWER(TRIM($G13))="n/a",LOWER(TRIM($G13))="-",LOWER(TRIM($G13))="none",LEFT(UPPER(TRIM($G13)),4)="TODO")),"FINDING",""))</f>
        <v/>
      </c>
      <c r="O13" s="8" t="str">
        <f aca="false">IF(NOT(AND($A13&lt;&gt;"",$K13&lt;&gt;"out")),"",IF(AND($K13="real",$E13&lt;&gt;"have"),"FINDING",""))</f>
        <v/>
      </c>
      <c r="P13" s="8" t="str">
        <f aca="false">IF(NOT(AND($A13&lt;&gt;"",$K13&lt;&gt;"out")),"",IF(AND($I13="external",NOT(ISNUMBER(SEARCH("write",$C13)))),"FINDING",""))</f>
        <v/>
      </c>
      <c r="Q13" s="8" t="str">
        <f aca="false">IF(NOT(AND($A13&lt;&gt;"",$K13&lt;&gt;"out")),"",TRIM(IF(OR(TRIM($F13)="",ISNUMBER(SEARCH("~?",$F13))),"Name the person who owns it. ","")&amp;IF(OR($E13="requested",$E13="none"),"Access: "&amp;$D13&amp;" ("&amp;$E13&amp;" today). ","")&amp;IF(ISNUMBER(SEARCH("write",$C13)),"Sign-off on the write policy: "&amp;$G13&amp;".","")))</f>
        <v/>
      </c>
      <c r="R13" s="8" t="str">
        <f aca="false">IF($A13="","",IF($K13="out","out: documented, not touched",$K13&amp;": "&amp;$L13))</f>
        <v/>
      </c>
    </row>
    <row r="15" customFormat="false" ht="15" hidden="false" customHeight="true" outlineLevel="0" collapsed="false">
      <c r="A15" s="9" t="s">
        <v>44</v>
      </c>
    </row>
    <row r="16" customFormat="false" ht="17.25" hidden="false" customHeight="true" outlineLevel="0" collapsed="false">
      <c r="A16" s="10" t="s">
        <v>45</v>
      </c>
      <c r="B16" s="8" t="n">
        <f aca="false">COUNTA(A6:A13)</f>
        <v>4</v>
      </c>
      <c r="D16" s="3" t="str">
        <f aca="false">IF(B16=0,"Nothing on the sheet yet.",IF(B22=0,"Nothing fired. On a sheet that is not finished that means the sheet is not finished, not that the design is clean.","Fix by changing one row: split the session, write the authority line, make the row a mock, or allowlist and pin the egress. A row leaves; a prompt does not improve."))</f>
        <v>Fix by changing one row: split the session, write the authority line, make the row a mock, or allowlist and pin the egress. A row leaves; a prompt does not improve.</v>
      </c>
    </row>
    <row r="17" customFormat="false" ht="30.75" hidden="false" customHeight="true" outlineLevel="0" collapsed="false">
      <c r="A17" s="10" t="s">
        <v>46</v>
      </c>
      <c r="B17" s="8" t="n">
        <f aca="false">SUMPRODUCT(($A$6:$A$13&lt;&gt;"")*($A$6:$L$13=""))</f>
        <v>0</v>
      </c>
      <c r="D17" s="3" t="s">
        <v>47</v>
      </c>
    </row>
    <row r="18" customFormat="false" ht="17.25" hidden="false" customHeight="true" outlineLevel="0" collapsed="false">
      <c r="A18" s="10" t="s">
        <v>48</v>
      </c>
      <c r="B18" s="8" t="n">
        <f aca="false">COUNTIF(M6:M13,"FINDING*")</f>
        <v>1</v>
      </c>
      <c r="D18" s="3" t="s">
        <v>49</v>
      </c>
    </row>
    <row r="19" customFormat="false" ht="17.25" hidden="false" customHeight="true" outlineLevel="0" collapsed="false">
      <c r="A19" s="10" t="s">
        <v>50</v>
      </c>
      <c r="B19" s="8" t="n">
        <f aca="false">COUNTIF(N6:N13,"FINDING")</f>
        <v>0</v>
      </c>
    </row>
    <row r="20" customFormat="false" ht="17.25" hidden="false" customHeight="true" outlineLevel="0" collapsed="false">
      <c r="A20" s="10" t="s">
        <v>51</v>
      </c>
      <c r="B20" s="8" t="n">
        <f aca="false">COUNTIF(O6:O13,"FINDING")</f>
        <v>0</v>
      </c>
    </row>
    <row r="21" customFormat="false" ht="17.25" hidden="false" customHeight="true" outlineLevel="0" collapsed="false">
      <c r="A21" s="10" t="s">
        <v>52</v>
      </c>
      <c r="B21" s="8" t="n">
        <f aca="false">COUNTIF(P6:P13,"FINDING")</f>
        <v>1</v>
      </c>
    </row>
    <row r="22" customFormat="false" ht="17.25" hidden="false" customHeight="true" outlineLevel="0" collapsed="false">
      <c r="A22" s="10" t="s">
        <v>53</v>
      </c>
      <c r="B22" s="8" t="n">
        <f aca="false">SUM(B18:B21)</f>
        <v>2</v>
      </c>
    </row>
    <row r="23" customFormat="false" ht="17.25" hidden="false" customHeight="true" outlineLevel="0" collapsed="false">
      <c r="A23" s="10" t="s">
        <v>54</v>
      </c>
      <c r="B23" s="8" t="n">
        <f aca="false">COUNTIF(K6:K13,"real")</f>
        <v>3</v>
      </c>
    </row>
    <row r="24" customFormat="false" ht="17.25" hidden="false" customHeight="true" outlineLevel="0" collapsed="false">
      <c r="A24" s="10" t="s">
        <v>55</v>
      </c>
      <c r="B24" s="8" t="n">
        <f aca="false">COUNTIF(K6:K13,"mock")</f>
        <v>1</v>
      </c>
    </row>
    <row r="25" customFormat="false" ht="17.25" hidden="false" customHeight="true" outlineLevel="0" collapsed="false">
      <c r="A25" s="10" t="s">
        <v>56</v>
      </c>
      <c r="B25" s="8" t="n">
        <f aca="false">COUNTIF(K6:K13,"out")</f>
        <v>0</v>
      </c>
    </row>
    <row r="26" customFormat="false" ht="17.25" hidden="false" customHeight="true" outlineLevel="0" collapsed="false">
      <c r="A26" s="10" t="s">
        <v>57</v>
      </c>
      <c r="B26" s="8" t="n">
        <f aca="false">COUNTA(A6:A13)-B23-B24-B25</f>
        <v>0</v>
      </c>
    </row>
    <row r="29" customFormat="false" ht="15" hidden="false" customHeight="true" outlineLevel="0" collapsed="false">
      <c r="A29" s="9" t="s">
        <v>58</v>
      </c>
    </row>
    <row r="30" customFormat="false" ht="31.5" hidden="false" customHeight="true" outlineLevel="0" collapsed="false">
      <c r="A30" s="6" t="s">
        <v>59</v>
      </c>
      <c r="B30" s="6" t="s">
        <v>60</v>
      </c>
    </row>
    <row r="31" customFormat="false" ht="17.25" hidden="false" customHeight="true" outlineLevel="0" collapsed="false">
      <c r="A31" s="10" t="s">
        <v>61</v>
      </c>
      <c r="B31" s="11" t="s">
        <v>62</v>
      </c>
      <c r="C31" s="11"/>
      <c r="D31" s="11"/>
      <c r="E31" s="11"/>
      <c r="F31" s="11"/>
      <c r="G31" s="11"/>
    </row>
    <row r="32" customFormat="false" ht="17.25" hidden="false" customHeight="true" outlineLevel="0" collapsed="false">
      <c r="A32" s="10" t="s">
        <v>63</v>
      </c>
      <c r="B32" s="11" t="s">
        <v>64</v>
      </c>
      <c r="C32" s="11"/>
      <c r="D32" s="11"/>
      <c r="E32" s="11"/>
      <c r="F32" s="11"/>
      <c r="G32" s="11"/>
    </row>
    <row r="33" customFormat="false" ht="17.25" hidden="false" customHeight="true" outlineLevel="0" collapsed="false">
      <c r="A33" s="10" t="s">
        <v>65</v>
      </c>
      <c r="B33" s="11" t="s">
        <v>66</v>
      </c>
      <c r="C33" s="11"/>
      <c r="D33" s="11"/>
      <c r="E33" s="11"/>
      <c r="F33" s="11"/>
      <c r="G33" s="11"/>
    </row>
    <row r="34" customFormat="false" ht="17.25" hidden="false" customHeight="true" outlineLevel="0" collapsed="false">
      <c r="A34" s="10" t="s">
        <v>67</v>
      </c>
      <c r="B34" s="11" t="s">
        <v>68</v>
      </c>
      <c r="C34" s="11"/>
      <c r="D34" s="11"/>
      <c r="E34" s="11"/>
      <c r="F34" s="11"/>
      <c r="G34" s="11"/>
    </row>
    <row r="35" customFormat="false" ht="17.25" hidden="false" customHeight="true" outlineLevel="0" collapsed="false">
      <c r="A35" s="10" t="s">
        <v>69</v>
      </c>
      <c r="B35" s="11" t="s">
        <v>70</v>
      </c>
      <c r="C35" s="11"/>
      <c r="D35" s="11"/>
      <c r="E35" s="11"/>
      <c r="F35" s="11"/>
      <c r="G35" s="11"/>
    </row>
    <row r="36" customFormat="false" ht="17.25" hidden="false" customHeight="true" outlineLevel="0" collapsed="false">
      <c r="A36" s="10" t="s">
        <v>71</v>
      </c>
      <c r="B36" s="11" t="s">
        <v>72</v>
      </c>
      <c r="C36" s="11"/>
      <c r="D36" s="11"/>
      <c r="E36" s="11"/>
      <c r="F36" s="11"/>
      <c r="G36" s="11"/>
    </row>
    <row r="37" customFormat="false" ht="17.25" hidden="false" customHeight="true" outlineLevel="0" collapsed="false">
      <c r="A37" s="10" t="s">
        <v>73</v>
      </c>
      <c r="B37" s="11" t="s">
        <v>74</v>
      </c>
      <c r="C37" s="11"/>
      <c r="D37" s="11"/>
      <c r="E37" s="11"/>
      <c r="F37" s="11"/>
      <c r="G37" s="11"/>
    </row>
  </sheetData>
  <mergeCells count="7">
    <mergeCell ref="B31:G31"/>
    <mergeCell ref="B32:G32"/>
    <mergeCell ref="B33:G33"/>
    <mergeCell ref="B34:G34"/>
    <mergeCell ref="B35:G35"/>
    <mergeCell ref="B36:G36"/>
    <mergeCell ref="B37:G37"/>
  </mergeCells>
  <conditionalFormatting sqref="M6:P13">
    <cfRule type="expression" priority="2" aboveAverage="0" equalAverage="0" bottom="0" percent="0" rank="0" text="" dxfId="0">
      <formula>LEFT(M6,7)="FINDING"</formula>
    </cfRule>
    <cfRule type="expression" priority="3" aboveAverage="0" equalAverage="0" bottom="0" percent="0" rank="0" text="" dxfId="1">
      <formula>M6="in a triangle session"</formula>
    </cfRule>
  </conditionalFormatting>
  <conditionalFormatting sqref="B22">
    <cfRule type="cellIs" priority="4" operator="greaterThan" aboveAverage="0" equalAverage="0" bottom="0" percent="0" rank="0" text="" dxfId="0">
      <formula>0</formula>
    </cfRule>
  </conditionalFormatting>
  <dataValidations count="5">
    <dataValidation allowBlank="true" error="Allowed values: read, write, read+write, call" errorStyle="stop" errorTitle="Pick from the list" operator="between" showDropDown="false" showErrorMessage="true" showInputMessage="false" sqref="C6:C13" type="list">
      <formula1>"read,write,read+write,call"</formula1>
      <formula2>0</formula2>
    </dataValidation>
    <dataValidation allowBlank="true" error="Allowed values: have, requested, none" errorStyle="stop" errorTitle="Pick from the list" operator="between" showDropDown="false" showErrorMessage="true" showInputMessage="false" sqref="E6:E13" type="list">
      <formula1>"have,requested,none"</formula1>
      <formula2>0</formula2>
    </dataValidation>
    <dataValidation allowBlank="true" error="Allowed values: trusted, untrusted" errorStyle="stop" errorTitle="Pick from the list" operator="between" showDropDown="false" showErrorMessage="true" showInputMessage="false" sqref="H6:H13" type="list">
      <formula1>"trusted,untrusted"</formula1>
      <formula2>0</formula2>
    </dataValidation>
    <dataValidation allowBlank="true" error="Allowed values: none, internal, external" errorStyle="stop" errorTitle="Pick from the list" operator="between" showDropDown="false" showErrorMessage="true" showInputMessage="false" sqref="I6:I13" type="list">
      <formula1>"none,internal,external"</formula1>
      <formula2>0</formula2>
    </dataValidation>
    <dataValidation allowBlank="true" error="Allowed values: real, mock, out" errorStyle="stop" errorTitle="Pick from the list" operator="between" showDropDown="false" showErrorMessage="true" showInputMessage="false" sqref="K6:K13" type="list">
      <formula1>"real,mock,out"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2026-09-30T01:11:52Z</dcterms:created>
  <dc:creator>openpyxl</dc:creator>
  <dc:description/>
  <dc:language>en-US</dc:language>
  <cp:lastModifiedBy/>
  <dcterms:modified xsi:type="dcterms:W3CDTF">2026-09-30T01:12:34Z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