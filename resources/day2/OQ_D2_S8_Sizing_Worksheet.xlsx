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Worksheet" sheetId="2" state="visible" r:id="rId4"/>
    <sheet name="Worked examp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<sst xmlns="http://schemas.openxmlformats.org/spreadsheetml/2006/main" count="320" uniqueCount="163">
  <si>
    <t xml:space="preserve">Sizing worksheet</t>
  </si>
  <si>
    <t xml:space="preserve">Advanced AI for IT | OQ | Day 2, S8 | Synthetic program material</t>
  </si>
  <si>
    <t xml:space="preserve">What it answers</t>
  </si>
  <si>
    <t xml:space="preserve">The question a manager asks on Day 5: 'How much machine does this need?' The honest answer is a range with its assumptions written down, never a single number.</t>
  </si>
  <si>
    <t xml:space="preserve">Time</t>
  </si>
  <si>
    <t xml:space="preserve">About 10 minutes in S8, with notebook 03's final cell in front of you.</t>
  </si>
  <si>
    <t xml:space="preserve">Step 1</t>
  </si>
  <si>
    <t xml:space="preserve">Sheet 'Worksheet', section A: copy the numbers from notebook 03. Write the machine down.</t>
  </si>
  <si>
    <t xml:space="preserve">Step 2</t>
  </si>
  <si>
    <t xml:space="preserve">Section B: estimate the work for your system. Peaks, not averages.</t>
  </si>
  <si>
    <t xml:space="preserve">Step 3</t>
  </si>
  <si>
    <t xml:space="preserve">Section C calculates itself. C3 and C4 are your two answers.</t>
  </si>
  <si>
    <t xml:space="preserve">Step 4</t>
  </si>
  <si>
    <t xml:space="preserve">Section D: answer the six checks. Every NO becomes a sentence in your spec.</t>
  </si>
  <si>
    <t xml:space="preserve">Step 5</t>
  </si>
  <si>
    <t xml:space="preserve">Write the answer in the box at the bottom, then copy it into spec section 7 (Cost and capacity).</t>
  </si>
  <si>
    <t xml:space="preserve">Legend</t>
  </si>
  <si>
    <t xml:space="preserve">Yellow cells are yours. White cells are formulas or guidance: do not type over them.</t>
  </si>
  <si>
    <t xml:space="preserve">Example</t>
  </si>
  <si>
    <t xml:space="preserve">Sheet 'Worked example' is filled for use case brief 1 (ticket triage) with the build laptop's measured numbers, and shows the room's Colab T4 run beside it. It is one answer, not the answer.</t>
  </si>
  <si>
    <t xml:space="preserve">What it does not do</t>
  </si>
  <si>
    <t xml:space="preserve">It does not size for long prompts (Day 3's retrieval makes prompts long: re-measure), bursts inside a second, or GPU memory. It is not a quote: the cost model turns a server count into money.</t>
  </si>
  <si>
    <t xml:space="preserve">Sizing worksheet: from request volume to server count</t>
  </si>
  <si>
    <t xml:space="preserve">Day 2, S8 | Fill in the yellow cells</t>
  </si>
  <si>
    <t xml:space="preserve">A  What one server does (from notebook 03's final cell)</t>
  </si>
  <si>
    <t xml:space="preserve">Measurement</t>
  </si>
  <si>
    <t xml:space="preserve">Value</t>
  </si>
  <si>
    <t xml:space="preserve">Unit</t>
  </si>
  <si>
    <t xml:space="preserve">Where it comes from</t>
  </si>
  <si>
    <t xml:space="preserve">A1</t>
  </si>
  <si>
    <t xml:space="preserve">Machine and model measured</t>
  </si>
  <si>
    <t xml:space="preserve">the server and hardware lines of the final cell. A number without its machine is a rumor</t>
  </si>
  <si>
    <t xml:space="preserve">A2</t>
  </si>
  <si>
    <t xml:space="preserve">One request alone (p50 at 1 caller)</t>
  </si>
  <si>
    <t xml:space="preserve">seconds</t>
  </si>
  <si>
    <t xml:space="preserve">the load-test table, row 1, column p50 s</t>
  </si>
  <si>
    <t xml:space="preserve">A3</t>
  </si>
  <si>
    <t xml:space="preserve">Reply tokens per request (the cap you used)</t>
  </si>
  <si>
    <t xml:space="preserve">tokens</t>
  </si>
  <si>
    <t xml:space="preserve">REPLY_CAP_TOKENS; 64 in the lab</t>
  </si>
  <si>
    <t xml:space="preserve">A4</t>
  </si>
  <si>
    <t xml:space="preserve">Latency target you set (p95)</t>
  </si>
  <si>
    <t xml:space="preserve">TODO 2 in the notebook. A person waiting: 2 to 5 s. An integration: its timeout</t>
  </si>
  <si>
    <t xml:space="preserve">A5</t>
  </si>
  <si>
    <t xml:space="preserve">Knee: callers at once inside the target</t>
  </si>
  <si>
    <t xml:space="preserve">callers</t>
  </si>
  <si>
    <t xml:space="preserve">'callers inside it'. If it says NONE, stop: see section E</t>
  </si>
  <si>
    <t xml:space="preserve">A6</t>
  </si>
  <si>
    <t xml:space="preserve">Ceiling: requests per second at the knee</t>
  </si>
  <si>
    <t xml:space="preserve">req/s</t>
  </si>
  <si>
    <t xml:space="preserve">'throughput there'</t>
  </si>
  <si>
    <t xml:space="preserve">A7</t>
  </si>
  <si>
    <t xml:space="preserve">Requests per hour at the knee = A6 x 3600</t>
  </si>
  <si>
    <t xml:space="preserve">req/hour</t>
  </si>
  <si>
    <t xml:space="preserve">calculated</t>
  </si>
  <si>
    <t xml:space="preserve">B  What the work is (estimate from your use case, do not compute)</t>
  </si>
  <si>
    <t xml:space="preserve">Question</t>
  </si>
  <si>
    <t xml:space="preserve">How to think about it</t>
  </si>
  <si>
    <t xml:space="preserve">B1</t>
  </si>
  <si>
    <t xml:space="preserve">Requests per day</t>
  </si>
  <si>
    <t xml:space="preserve">per day</t>
  </si>
  <si>
    <t xml:space="preserve">tickets, documents or questions a day. An order of magnitude you can defend</t>
  </si>
  <si>
    <t xml:space="preserve">B2</t>
  </si>
  <si>
    <t xml:space="preserve">Hours in which most of them arrive</t>
  </si>
  <si>
    <t xml:space="preserve">hours</t>
  </si>
  <si>
    <t xml:space="preserve">8 for an office day; 24 for an integration that never sleeps</t>
  </si>
  <si>
    <t xml:space="preserve">B3</t>
  </si>
  <si>
    <t xml:space="preserve">Peak factor</t>
  </si>
  <si>
    <t xml:space="preserve">x</t>
  </si>
  <si>
    <t xml:space="preserve">busiest hour divided by the average hour. 2 is a normal office; 3 to 4 for a Monday flood or after an outage; 1 for a scheduled batch</t>
  </si>
  <si>
    <t xml:space="preserve">B4</t>
  </si>
  <si>
    <t xml:space="preserve">Requests per second at peak = B1 / (B2 x 3600) x B3</t>
  </si>
  <si>
    <t xml:space="preserve">the number the server must survive, not the average</t>
  </si>
  <si>
    <t xml:space="preserve">B5</t>
  </si>
  <si>
    <t xml:space="preserve">Reply length the use case needs</t>
  </si>
  <si>
    <t xml:space="preserve">triage JSON about 60; a drafted email 200 to 400; a summary of a long document 500 plus</t>
  </si>
  <si>
    <t xml:space="preserve">B6</t>
  </si>
  <si>
    <t xml:space="preserve">Who waits?</t>
  </si>
  <si>
    <t xml:space="preserve">person, integration or nobody (pick from the list)</t>
  </si>
  <si>
    <t xml:space="preserve">C  The arithmetic (calculated: do not type over these)</t>
  </si>
  <si>
    <t xml:space="preserve">Step</t>
  </si>
  <si>
    <t xml:space="preserve">Notes</t>
  </si>
  <si>
    <t xml:space="preserve">C1</t>
  </si>
  <si>
    <t xml:space="preserve">Reply-length correction = B5 / A3 (1.0 if within a third)</t>
  </si>
  <si>
    <t xml:space="preserve">replies twice as long take roughly twice as long to write</t>
  </si>
  <si>
    <t xml:space="preserve">C2</t>
  </si>
  <si>
    <t xml:space="preserve">Corrected ceiling = A6 / C1</t>
  </si>
  <si>
    <t xml:space="preserve">what one server does at YOUR reply length, inside the target</t>
  </si>
  <si>
    <t xml:space="preserve">C3</t>
  </si>
  <si>
    <t xml:space="preserve">Servers needed at peak = B4 / C2, rounded up</t>
  </si>
  <si>
    <t xml:space="preserve">servers</t>
  </si>
  <si>
    <t xml:space="preserve">the headline number. Always round up: a queue that is 90% busy has long tails</t>
  </si>
  <si>
    <t xml:space="preserve">C4</t>
  </si>
  <si>
    <t xml:space="preserve">With headroom = C3 x 1.5, rounded up</t>
  </si>
  <si>
    <t xml:space="preserve">traffic estimates are wrong by 2x in both directions; 1.5 is the cheap half of that</t>
  </si>
  <si>
    <t xml:space="preserve">C5</t>
  </si>
  <si>
    <t xml:space="preserve">Share of each C3 server busy at peak = B4 / (C3 x C2)</t>
  </si>
  <si>
    <t xml:space="preserve">a small share means the machine is idle most of the time: see the cost model's idle-share line</t>
  </si>
  <si>
    <t xml:space="preserve">C6</t>
  </si>
  <si>
    <t xml:space="preserve">Hours a day a 24-hour VM sits idle = 24 - B2</t>
  </si>
  <si>
    <t xml:space="preserve">Day 1's cost model has the idle-share line for exactly this</t>
  </si>
  <si>
    <t xml:space="preserve">D  Sanity checks (every NO is a sentence for your spec)</t>
  </si>
  <si>
    <t xml:space="preserve">Check</t>
  </si>
  <si>
    <t xml:space="preserve">Y / N</t>
  </si>
  <si>
    <t xml:space="preserve">Suggested</t>
  </si>
  <si>
    <t xml:space="preserve">If NO</t>
  </si>
  <si>
    <t xml:space="preserve">D1</t>
  </si>
  <si>
    <t xml:space="preserve">Is A2 (one request alone) already under the target A4?</t>
  </si>
  <si>
    <t xml:space="preserve">no server count fixes a single slow request: a smaller model, a shorter reply, a faster GPU, or a looser target</t>
  </si>
  <si>
    <t xml:space="preserve">D2</t>
  </si>
  <si>
    <t xml:space="preserve">Was A4 chosen for B6 (who waits)?</t>
  </si>
  <si>
    <t xml:space="preserve">a person: 2 to 5 s. An integration: its timeout, usually 10 to 30 s. Nobody: throughput is all that matters</t>
  </si>
  <si>
    <t xml:space="preserve">D3</t>
  </si>
  <si>
    <t xml:space="preserve">Is C3 small enough to be a 'host' answer at all?</t>
  </si>
  <si>
    <t xml:space="preserve">if it takes many servers, re-run the Day 1 cost model with C4 machines</t>
  </si>
  <si>
    <t xml:space="preserve">D4</t>
  </si>
  <si>
    <t xml:space="preserve">Would the model you actually want still pass D1?</t>
  </si>
  <si>
    <t xml:space="preserve">the lab measured a 1B model. An 8B model on the same GPU is several times slower per token. Measure it before promising it</t>
  </si>
  <si>
    <t xml:space="preserve">D5</t>
  </si>
  <si>
    <t xml:space="preserve">Does A5 (callers at once) match how the system is really used?</t>
  </si>
  <si>
    <t xml:space="preserve">16 agents each clicking 'triage now' is 16 callers; a nightly batch is 1 caller with a long queue</t>
  </si>
  <si>
    <t xml:space="preserve">D6</t>
  </si>
  <si>
    <t xml:space="preserve">Did you measure on the machine you will buy?</t>
  </si>
  <si>
    <t xml:space="preserve">Colab and laptops are not OQ's VM. Notebook 03's script takes --base-url: point it at the real server</t>
  </si>
  <si>
    <t xml:space="preserve">E  The levers, cheapest first (each changes a number in A: re-measure after pulling it)</t>
  </si>
  <si>
    <t xml:space="preserve">Lever</t>
  </si>
  <si>
    <t xml:space="preserve">What it changes</t>
  </si>
  <si>
    <t xml:space="preserve">1</t>
  </si>
  <si>
    <t xml:space="preserve">Shorter replies</t>
  </si>
  <si>
    <t xml:space="preserve">B5 down. The cheapest lever there is: a triage record does not need prose</t>
  </si>
  <si>
    <t xml:space="preserve">2</t>
  </si>
  <si>
    <t xml:space="preserve">Let the server batch</t>
  </si>
  <si>
    <t xml:space="preserve">OLLAMA_NUM_PARALLEL above 1, or vLLM. Moves the knee out and raises the ceiling; costs GPU memory per slot. On the build laptop 4 slots took the ceiling from 0.25 to 0.9 req/s</t>
  </si>
  <si>
    <t xml:space="preserve">3</t>
  </si>
  <si>
    <t xml:space="preserve">A faster accelerator</t>
  </si>
  <si>
    <t xml:space="preserve">A2 down. Measure; do not extrapolate from a spec sheet</t>
  </si>
  <si>
    <t xml:space="preserve">4</t>
  </si>
  <si>
    <t xml:space="preserve">More servers behind a load balancer</t>
  </si>
  <si>
    <t xml:space="preserve">C3 up. Linear cost, linear capacity, and a fleet to run. A vendor API is this lever, bought</t>
  </si>
  <si>
    <t xml:space="preserve">5</t>
  </si>
  <si>
    <t xml:space="preserve">A smaller model</t>
  </si>
  <si>
    <t xml:space="preserve">Last, because it changes Day 2's quality numbers. A faster wrong answer is not a win</t>
  </si>
  <si>
    <t xml:space="preserve">The answer, as you will write it in spec section 7</t>
  </si>
  <si>
    <t xml:space="preserve">Worked example: use case brief 1, ticket triage, measured 22 Sept on the build laptop. Invented volumes, real measurements</t>
  </si>
  <si>
    <t xml:space="preserve">Build laptop, integrated GPU, Ollama 0.12.10, 1 request at a time, llama3.2:1b</t>
  </si>
  <si>
    <t xml:space="preserve">integration</t>
  </si>
  <si>
    <t xml:space="preserve">YES</t>
  </si>
  <si>
    <t xml:space="preserve">NOT MEASURED</t>
  </si>
  <si>
    <t xml:space="preserve">NO</t>
  </si>
  <si>
    <t xml:space="preserve">At 200 tickets a day with a 3x peak, triage needs 0.02 requests a second. One server of the measured class handles 1.03 inside a 10 s p95, so one server with a queue is enough and two is comfortable. The measurement is a laptop's; re-measure on the tenant VM before sizing it, and again if the model changes. At this volume the vendor API is cheaper by two orders of magnitude, and hosting is justified only by the residency gate.</t>
  </si>
  <si>
    <t xml:space="preserve">Beside it: the room's Colab T4 run (23 Sept, llama3.2:1b, real tickets)</t>
  </si>
  <si>
    <t xml:space="preserve">Colab T4</t>
  </si>
  <si>
    <t xml:space="preserve">Note</t>
  </si>
  <si>
    <t xml:space="preserve">Latency target (p95)</t>
  </si>
  <si>
    <t xml:space="preserve">same target as the laptop</t>
  </si>
  <si>
    <t xml:space="preserve">Knee</t>
  </si>
  <si>
    <t xml:space="preserve">p95 1.46 s at 1 caller, 11.73 s at 16</t>
  </si>
  <si>
    <t xml:space="preserve">Ceiling</t>
  </si>
  <si>
    <t xml:space="preserve">throughput flat at about 1.4 req/s</t>
  </si>
  <si>
    <t xml:space="preserve">Requests per hour</t>
  </si>
  <si>
    <t xml:space="preserve">5,076</t>
  </si>
  <si>
    <t xml:space="preserve">Servers at brief 1's peak on a T4 (same B section)</t>
  </si>
  <si>
    <t xml:space="preserve">still one server: a faster GPU changes the latency, not the answer at this volume</t>
  </si>
</sst>
</file>

<file path=xl/styles.xml><?xml version="1.0" encoding="utf-8"?>
<styleSheet xmlns="http://schemas.openxmlformats.org/spreadsheetml/2006/main">
  <numFmts count="7">
    <numFmt numFmtId="164" formatCode="General"/>
    <numFmt numFmtId="165" formatCode="0.00"/>
    <numFmt numFmtId="166" formatCode="#,##0"/>
    <numFmt numFmtId="167" formatCode="#,##0.##"/>
    <numFmt numFmtId="168" formatCode="0.000"/>
    <numFmt numFmtId="169" formatCode="0"/>
    <numFmt numFmtId="170" formatCode="0%"/>
  </numFmts>
  <fonts count="11">
    <font>
      <sz val="11"/>
      <color theme="1"/>
      <name val="Calibri"/>
      <family val="2"/>
      <charset val="1"/>
    </font>
    <font>
      <sz val="10"/>
      <name val="Arial"/>
      <family val="0"/>
    </font>
    <font>
      <sz val="10"/>
      <name val="Arial"/>
      <family val="0"/>
    </font>
    <font>
      <sz val="10"/>
      <name val="Arial"/>
      <family val="0"/>
    </font>
    <font>
      <b val="true"/>
      <sz val="16"/>
      <color rgb="FF1C1C6B"/>
      <name val="Arial"/>
      <family val="0"/>
      <charset val="1"/>
    </font>
    <font>
      <i val="true"/>
      <sz val="10"/>
      <color rgb="FF555555"/>
      <name val="Arial"/>
      <family val="0"/>
      <charset val="1"/>
    </font>
    <font>
      <b val="true"/>
      <sz val="10"/>
      <color rgb="FF000000"/>
      <name val="Arial"/>
      <family val="0"/>
      <charset val="1"/>
    </font>
    <font>
      <sz val="10"/>
      <color rgb="FF000000"/>
      <name val="Arial"/>
      <family val="0"/>
      <charset val="1"/>
    </font>
    <font>
      <b val="true"/>
      <sz val="12"/>
      <color rgb="FF1C1C6B"/>
      <name val="Arial"/>
      <family val="0"/>
      <charset val="1"/>
    </font>
    <font>
      <b val="true"/>
      <sz val="10"/>
      <color rgb="FFFFFFFF"/>
      <name val="Arial"/>
      <family val="0"/>
      <charset val="1"/>
    </font>
    <font>
      <sz val="10"/>
      <color rgb="FF555555"/>
      <name val="Arial"/>
      <family val="0"/>
      <charset val="1"/>
    </font>
  </fonts>
  <fills count="5">
    <fill>
      <patternFill patternType="none"/>
    </fill>
    <fill>
      <patternFill patternType="gray125"/>
    </fill>
    <fill>
      <patternFill patternType="solid">
        <fgColor rgb="FF1C1C6B"/>
        <bgColor rgb="FF333399"/>
      </patternFill>
    </fill>
    <fill>
      <patternFill patternType="solid">
        <fgColor rgb="FFFFF2CC"/>
        <bgColor rgb="FFE2EFDA"/>
      </patternFill>
    </fill>
    <fill>
      <patternFill patternType="solid">
        <fgColor rgb="FFE2EFDA"/>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7" fontId="7" fillId="3"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9" fontId="7" fillId="3"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9" fontId="6" fillId="4"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true" applyProtection="false">
      <alignment horizontal="general" vertical="top" textRotation="0" wrapText="true" indent="0" shrinkToFit="false"/>
      <protection locked="true" hidden="false"/>
    </xf>
    <xf numFmtId="164" fontId="7" fillId="3"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C1C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15" hidden="false" customHeight="false" outlineLevel="0" collapsed="false">
      <c r="A11" s="3" t="s">
        <v>16</v>
      </c>
      <c r="B11" s="4" t="s">
        <v>17</v>
      </c>
    </row>
    <row r="12" customFormat="false" ht="23.85" hidden="false" customHeight="false" outlineLevel="0" collapsed="false">
      <c r="A12" s="3" t="s">
        <v>18</v>
      </c>
      <c r="B12" s="4" t="s">
        <v>19</v>
      </c>
    </row>
    <row r="13" customFormat="false" ht="23.85" hidden="false" customHeight="false" outlineLevel="0" collapsed="false">
      <c r="A13" s="3" t="s">
        <v>20</v>
      </c>
      <c r="B13" s="4"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18"/>
    <col collapsed="false" customWidth="true" hidden="false" outlineLevel="0" max="4" min="4" style="0" width="14"/>
    <col collapsed="false" customWidth="true" hidden="false" outlineLevel="0" max="5" min="5" style="0" width="70"/>
  </cols>
  <sheetData>
    <row r="1" customFormat="false" ht="19.7" hidden="false" customHeight="false" outlineLevel="0" collapsed="false">
      <c r="A1" s="1" t="s">
        <v>22</v>
      </c>
    </row>
    <row r="2" customFormat="false" ht="15" hidden="false" customHeight="false" outlineLevel="0" collapsed="false">
      <c r="A2" s="2" t="s">
        <v>23</v>
      </c>
    </row>
    <row r="4" customFormat="false" ht="15" hidden="false" customHeight="false" outlineLevel="0" collapsed="false">
      <c r="A4" s="5" t="s">
        <v>24</v>
      </c>
    </row>
    <row r="5" customFormat="false" ht="15" hidden="false" customHeight="false" outlineLevel="0" collapsed="false">
      <c r="A5" s="6"/>
      <c r="B5" s="6" t="s">
        <v>25</v>
      </c>
      <c r="C5" s="6" t="s">
        <v>26</v>
      </c>
      <c r="D5" s="6" t="s">
        <v>27</v>
      </c>
      <c r="E5" s="6" t="s">
        <v>28</v>
      </c>
    </row>
    <row r="6" customFormat="false" ht="15" hidden="false" customHeight="false" outlineLevel="0" collapsed="false">
      <c r="A6" s="3" t="s">
        <v>29</v>
      </c>
      <c r="B6" s="4" t="s">
        <v>30</v>
      </c>
      <c r="C6" s="7"/>
      <c r="D6" s="4"/>
      <c r="E6" s="8" t="s">
        <v>31</v>
      </c>
    </row>
    <row r="7" customFormat="false" ht="15" hidden="false" customHeight="false" outlineLevel="0" collapsed="false">
      <c r="A7" s="3" t="s">
        <v>32</v>
      </c>
      <c r="B7" s="4" t="s">
        <v>33</v>
      </c>
      <c r="C7" s="9"/>
      <c r="D7" s="4" t="s">
        <v>34</v>
      </c>
      <c r="E7" s="8" t="s">
        <v>35</v>
      </c>
    </row>
    <row r="8" customFormat="false" ht="15" hidden="false" customHeight="false" outlineLevel="0" collapsed="false">
      <c r="A8" s="3" t="s">
        <v>36</v>
      </c>
      <c r="B8" s="4" t="s">
        <v>37</v>
      </c>
      <c r="C8" s="9"/>
      <c r="D8" s="4" t="s">
        <v>38</v>
      </c>
      <c r="E8" s="8" t="s">
        <v>39</v>
      </c>
    </row>
    <row r="9" customFormat="false" ht="15" hidden="false" customHeight="false" outlineLevel="0" collapsed="false">
      <c r="A9" s="3" t="s">
        <v>40</v>
      </c>
      <c r="B9" s="4" t="s">
        <v>41</v>
      </c>
      <c r="C9" s="9"/>
      <c r="D9" s="4" t="s">
        <v>34</v>
      </c>
      <c r="E9" s="8" t="s">
        <v>42</v>
      </c>
    </row>
    <row r="10" customFormat="false" ht="15" hidden="false" customHeight="false" outlineLevel="0" collapsed="false">
      <c r="A10" s="3" t="s">
        <v>43</v>
      </c>
      <c r="B10" s="4" t="s">
        <v>44</v>
      </c>
      <c r="C10" s="9"/>
      <c r="D10" s="4" t="s">
        <v>45</v>
      </c>
      <c r="E10" s="8" t="s">
        <v>46</v>
      </c>
    </row>
    <row r="11" customFormat="false" ht="15" hidden="false" customHeight="false" outlineLevel="0" collapsed="false">
      <c r="A11" s="3" t="s">
        <v>47</v>
      </c>
      <c r="B11" s="4" t="s">
        <v>48</v>
      </c>
      <c r="C11" s="9"/>
      <c r="D11" s="4" t="s">
        <v>49</v>
      </c>
      <c r="E11" s="8" t="s">
        <v>50</v>
      </c>
    </row>
    <row r="12" customFormat="false" ht="15" hidden="false" customHeight="false" outlineLevel="0" collapsed="false">
      <c r="A12" s="3" t="s">
        <v>51</v>
      </c>
      <c r="B12" s="4" t="s">
        <v>52</v>
      </c>
      <c r="C12" s="10" t="str">
        <f aca="false">IF(C11="","",C11*3600)</f>
        <v/>
      </c>
      <c r="D12" s="4" t="s">
        <v>53</v>
      </c>
      <c r="E12" s="8" t="s">
        <v>54</v>
      </c>
    </row>
    <row r="14" customFormat="false" ht="15" hidden="false" customHeight="false" outlineLevel="0" collapsed="false">
      <c r="A14" s="5" t="s">
        <v>55</v>
      </c>
    </row>
    <row r="15" customFormat="false" ht="15" hidden="false" customHeight="false" outlineLevel="0" collapsed="false">
      <c r="A15" s="6"/>
      <c r="B15" s="6" t="s">
        <v>56</v>
      </c>
      <c r="C15" s="6" t="s">
        <v>26</v>
      </c>
      <c r="D15" s="6" t="s">
        <v>27</v>
      </c>
      <c r="E15" s="6" t="s">
        <v>57</v>
      </c>
    </row>
    <row r="16" customFormat="false" ht="15" hidden="false" customHeight="false" outlineLevel="0" collapsed="false">
      <c r="A16" s="3" t="s">
        <v>58</v>
      </c>
      <c r="B16" s="4" t="s">
        <v>59</v>
      </c>
      <c r="C16" s="11"/>
      <c r="D16" s="4" t="s">
        <v>60</v>
      </c>
      <c r="E16" s="8" t="s">
        <v>61</v>
      </c>
    </row>
    <row r="17" customFormat="false" ht="15" hidden="false" customHeight="false" outlineLevel="0" collapsed="false">
      <c r="A17" s="3" t="s">
        <v>62</v>
      </c>
      <c r="B17" s="4" t="s">
        <v>63</v>
      </c>
      <c r="C17" s="11"/>
      <c r="D17" s="4" t="s">
        <v>64</v>
      </c>
      <c r="E17" s="8" t="s">
        <v>65</v>
      </c>
    </row>
    <row r="18" customFormat="false" ht="23.85" hidden="false" customHeight="false" outlineLevel="0" collapsed="false">
      <c r="A18" s="3" t="s">
        <v>66</v>
      </c>
      <c r="B18" s="4" t="s">
        <v>67</v>
      </c>
      <c r="C18" s="11"/>
      <c r="D18" s="4" t="s">
        <v>68</v>
      </c>
      <c r="E18" s="8" t="s">
        <v>69</v>
      </c>
    </row>
    <row r="19" customFormat="false" ht="15" hidden="false" customHeight="false" outlineLevel="0" collapsed="false">
      <c r="A19" s="3" t="s">
        <v>70</v>
      </c>
      <c r="B19" s="4" t="s">
        <v>71</v>
      </c>
      <c r="C19" s="12" t="str">
        <f aca="false">IF(OR(C16="",C17="",C18=""),"",C16/(C17*3600)*C18)</f>
        <v/>
      </c>
      <c r="D19" s="4" t="s">
        <v>49</v>
      </c>
      <c r="E19" s="8" t="s">
        <v>72</v>
      </c>
    </row>
    <row r="20" customFormat="false" ht="23.85" hidden="false" customHeight="false" outlineLevel="0" collapsed="false">
      <c r="A20" s="3" t="s">
        <v>73</v>
      </c>
      <c r="B20" s="4" t="s">
        <v>74</v>
      </c>
      <c r="C20" s="13"/>
      <c r="D20" s="4" t="s">
        <v>38</v>
      </c>
      <c r="E20" s="8" t="s">
        <v>75</v>
      </c>
    </row>
    <row r="21" customFormat="false" ht="15" hidden="false" customHeight="false" outlineLevel="0" collapsed="false">
      <c r="A21" s="3" t="s">
        <v>76</v>
      </c>
      <c r="B21" s="4" t="s">
        <v>77</v>
      </c>
      <c r="C21" s="7"/>
      <c r="D21" s="4"/>
      <c r="E21" s="8" t="s">
        <v>78</v>
      </c>
    </row>
    <row r="23" customFormat="false" ht="15" hidden="false" customHeight="false" outlineLevel="0" collapsed="false">
      <c r="A23" s="5" t="s">
        <v>79</v>
      </c>
    </row>
    <row r="24" customFormat="false" ht="15" hidden="false" customHeight="false" outlineLevel="0" collapsed="false">
      <c r="A24" s="6"/>
      <c r="B24" s="6" t="s">
        <v>80</v>
      </c>
      <c r="C24" s="6" t="s">
        <v>26</v>
      </c>
      <c r="D24" s="6" t="s">
        <v>27</v>
      </c>
      <c r="E24" s="6" t="s">
        <v>81</v>
      </c>
    </row>
    <row r="25" customFormat="false" ht="15" hidden="false" customHeight="false" outlineLevel="0" collapsed="false">
      <c r="A25" s="3" t="s">
        <v>82</v>
      </c>
      <c r="B25" s="4" t="s">
        <v>83</v>
      </c>
      <c r="C25" s="14" t="str">
        <f aca="false">IF(OR(C20="",C8=""),"",IF(ABS(C20/C8-1)&lt;=1/3,1,C20/C8))</f>
        <v/>
      </c>
      <c r="D25" s="4" t="s">
        <v>68</v>
      </c>
      <c r="E25" s="8" t="s">
        <v>84</v>
      </c>
    </row>
    <row r="26" customFormat="false" ht="15" hidden="false" customHeight="false" outlineLevel="0" collapsed="false">
      <c r="A26" s="3" t="s">
        <v>85</v>
      </c>
      <c r="B26" s="4" t="s">
        <v>86</v>
      </c>
      <c r="C26" s="14" t="str">
        <f aca="false">IF(OR(C11="",C25=""),"",C11/C25)</f>
        <v/>
      </c>
      <c r="D26" s="4" t="s">
        <v>49</v>
      </c>
      <c r="E26" s="8" t="s">
        <v>87</v>
      </c>
    </row>
    <row r="27" customFormat="false" ht="15" hidden="false" customHeight="false" outlineLevel="0" collapsed="false">
      <c r="A27" s="3" t="s">
        <v>88</v>
      </c>
      <c r="B27" s="3" t="s">
        <v>89</v>
      </c>
      <c r="C27" s="15" t="str">
        <f aca="false">IF(OR(C19="",C26=""),"",ROUNDUP(C19/C26,0))</f>
        <v/>
      </c>
      <c r="D27" s="4" t="s">
        <v>90</v>
      </c>
      <c r="E27" s="8" t="s">
        <v>91</v>
      </c>
    </row>
    <row r="28" customFormat="false" ht="15" hidden="false" customHeight="false" outlineLevel="0" collapsed="false">
      <c r="A28" s="3" t="s">
        <v>92</v>
      </c>
      <c r="B28" s="3" t="s">
        <v>93</v>
      </c>
      <c r="C28" s="15" t="str">
        <f aca="false">IF(C27="","",ROUNDUP(C27*1.5,0))</f>
        <v/>
      </c>
      <c r="D28" s="4" t="s">
        <v>90</v>
      </c>
      <c r="E28" s="8" t="s">
        <v>94</v>
      </c>
    </row>
    <row r="29" customFormat="false" ht="23.85" hidden="false" customHeight="false" outlineLevel="0" collapsed="false">
      <c r="A29" s="3" t="s">
        <v>95</v>
      </c>
      <c r="B29" s="4" t="s">
        <v>96</v>
      </c>
      <c r="C29" s="16" t="str">
        <f aca="false">IF(C27="","",C19/(C27*C26))</f>
        <v/>
      </c>
      <c r="D29" s="4"/>
      <c r="E29" s="8" t="s">
        <v>97</v>
      </c>
    </row>
    <row r="30" customFormat="false" ht="15" hidden="false" customHeight="false" outlineLevel="0" collapsed="false">
      <c r="A30" s="3" t="s">
        <v>98</v>
      </c>
      <c r="B30" s="4" t="s">
        <v>99</v>
      </c>
      <c r="C30" s="17" t="str">
        <f aca="false">IF(C17="","",24-C17)</f>
        <v/>
      </c>
      <c r="D30" s="4" t="s">
        <v>64</v>
      </c>
      <c r="E30" s="8" t="s">
        <v>100</v>
      </c>
    </row>
    <row r="32" customFormat="false" ht="15" hidden="false" customHeight="false" outlineLevel="0" collapsed="false">
      <c r="A32" s="5" t="s">
        <v>101</v>
      </c>
    </row>
    <row r="33" customFormat="false" ht="15" hidden="false" customHeight="false" outlineLevel="0" collapsed="false">
      <c r="A33" s="6"/>
      <c r="B33" s="6" t="s">
        <v>102</v>
      </c>
      <c r="C33" s="6" t="s">
        <v>103</v>
      </c>
      <c r="D33" s="6" t="s">
        <v>104</v>
      </c>
      <c r="E33" s="6" t="s">
        <v>105</v>
      </c>
    </row>
    <row r="34" customFormat="false" ht="23.85" hidden="false" customHeight="false" outlineLevel="0" collapsed="false">
      <c r="A34" s="3" t="s">
        <v>106</v>
      </c>
      <c r="B34" s="4" t="s">
        <v>107</v>
      </c>
      <c r="C34" s="7"/>
      <c r="D34" s="8" t="str">
        <f aca="false">IF(OR(C7="",C9=""),"",IF(C7&lt;C9,"YES","NO"))</f>
        <v/>
      </c>
      <c r="E34" s="8" t="s">
        <v>108</v>
      </c>
    </row>
    <row r="35" customFormat="false" ht="23.85" hidden="false" customHeight="false" outlineLevel="0" collapsed="false">
      <c r="A35" s="3" t="s">
        <v>109</v>
      </c>
      <c r="B35" s="4" t="s">
        <v>110</v>
      </c>
      <c r="C35" s="7"/>
      <c r="D35" s="8"/>
      <c r="E35" s="8" t="s">
        <v>111</v>
      </c>
    </row>
    <row r="36" customFormat="false" ht="15" hidden="false" customHeight="false" outlineLevel="0" collapsed="false">
      <c r="A36" s="3" t="s">
        <v>112</v>
      </c>
      <c r="B36" s="4" t="s">
        <v>113</v>
      </c>
      <c r="C36" s="7"/>
      <c r="D36" s="8"/>
      <c r="E36" s="8" t="s">
        <v>114</v>
      </c>
    </row>
    <row r="37" customFormat="false" ht="23.85" hidden="false" customHeight="false" outlineLevel="0" collapsed="false">
      <c r="A37" s="3" t="s">
        <v>115</v>
      </c>
      <c r="B37" s="4" t="s">
        <v>116</v>
      </c>
      <c r="C37" s="7"/>
      <c r="D37" s="8"/>
      <c r="E37" s="8" t="s">
        <v>117</v>
      </c>
    </row>
    <row r="38" customFormat="false" ht="23.85" hidden="false" customHeight="false" outlineLevel="0" collapsed="false">
      <c r="A38" s="3" t="s">
        <v>118</v>
      </c>
      <c r="B38" s="4" t="s">
        <v>119</v>
      </c>
      <c r="C38" s="7"/>
      <c r="D38" s="8"/>
      <c r="E38" s="8" t="s">
        <v>120</v>
      </c>
    </row>
    <row r="39" customFormat="false" ht="23.85" hidden="false" customHeight="false" outlineLevel="0" collapsed="false">
      <c r="A39" s="3" t="s">
        <v>121</v>
      </c>
      <c r="B39" s="4" t="s">
        <v>122</v>
      </c>
      <c r="C39" s="7"/>
      <c r="D39" s="8"/>
      <c r="E39" s="8" t="s">
        <v>123</v>
      </c>
    </row>
    <row r="41" customFormat="false" ht="15" hidden="false" customHeight="false" outlineLevel="0" collapsed="false">
      <c r="A41" s="5" t="s">
        <v>124</v>
      </c>
    </row>
    <row r="42" customFormat="false" ht="15" hidden="false" customHeight="false" outlineLevel="0" collapsed="false">
      <c r="A42" s="6"/>
      <c r="B42" s="6" t="s">
        <v>125</v>
      </c>
      <c r="C42" s="6"/>
      <c r="D42" s="6"/>
      <c r="E42" s="6" t="s">
        <v>126</v>
      </c>
    </row>
    <row r="43" customFormat="false" ht="15" hidden="false" customHeight="false" outlineLevel="0" collapsed="false">
      <c r="A43" s="3" t="s">
        <v>127</v>
      </c>
      <c r="B43" s="3" t="s">
        <v>128</v>
      </c>
      <c r="C43" s="4"/>
      <c r="D43" s="4"/>
      <c r="E43" s="4" t="s">
        <v>129</v>
      </c>
    </row>
    <row r="44" customFormat="false" ht="35.05" hidden="false" customHeight="false" outlineLevel="0" collapsed="false">
      <c r="A44" s="3" t="s">
        <v>130</v>
      </c>
      <c r="B44" s="3" t="s">
        <v>131</v>
      </c>
      <c r="C44" s="4"/>
      <c r="D44" s="4"/>
      <c r="E44" s="4" t="s">
        <v>132</v>
      </c>
    </row>
    <row r="45" customFormat="false" ht="15" hidden="false" customHeight="false" outlineLevel="0" collapsed="false">
      <c r="A45" s="3" t="s">
        <v>133</v>
      </c>
      <c r="B45" s="3" t="s">
        <v>134</v>
      </c>
      <c r="C45" s="4"/>
      <c r="D45" s="4"/>
      <c r="E45" s="4" t="s">
        <v>135</v>
      </c>
    </row>
    <row r="46" customFormat="false" ht="23.85" hidden="false" customHeight="false" outlineLevel="0" collapsed="false">
      <c r="A46" s="3" t="s">
        <v>136</v>
      </c>
      <c r="B46" s="3" t="s">
        <v>137</v>
      </c>
      <c r="C46" s="4"/>
      <c r="D46" s="4"/>
      <c r="E46" s="4" t="s">
        <v>138</v>
      </c>
    </row>
    <row r="47" customFormat="false" ht="15" hidden="false" customHeight="false" outlineLevel="0" collapsed="false">
      <c r="A47" s="3" t="s">
        <v>139</v>
      </c>
      <c r="B47" s="3" t="s">
        <v>140</v>
      </c>
      <c r="C47" s="4"/>
      <c r="D47" s="4"/>
      <c r="E47" s="4" t="s">
        <v>141</v>
      </c>
    </row>
    <row r="49" customFormat="false" ht="15" hidden="false" customHeight="false" outlineLevel="0" collapsed="false">
      <c r="A49" s="5" t="s">
        <v>142</v>
      </c>
    </row>
    <row r="50" customFormat="false" ht="21.75" hidden="false" customHeight="true" outlineLevel="0" collapsed="false">
      <c r="A50" s="18"/>
      <c r="B50" s="18"/>
      <c r="C50" s="18"/>
      <c r="D50" s="18"/>
      <c r="E50" s="18"/>
    </row>
    <row r="51" customFormat="false" ht="21.75" hidden="false" customHeight="true" outlineLevel="0" collapsed="false">
      <c r="A51" s="18"/>
      <c r="B51" s="18"/>
      <c r="C51" s="18"/>
      <c r="D51" s="18"/>
      <c r="E51" s="18"/>
    </row>
    <row r="52" customFormat="false" ht="21.75" hidden="false" customHeight="true" outlineLevel="0" collapsed="false">
      <c r="A52" s="18"/>
      <c r="B52" s="18"/>
      <c r="C52" s="18"/>
      <c r="D52" s="18"/>
      <c r="E52" s="18"/>
    </row>
    <row r="53" customFormat="false" ht="21.75" hidden="false" customHeight="true" outlineLevel="0" collapsed="false">
      <c r="A53" s="18"/>
      <c r="B53" s="18"/>
      <c r="C53" s="18"/>
      <c r="D53" s="18"/>
      <c r="E53" s="18"/>
    </row>
  </sheetData>
  <mergeCells count="1">
    <mergeCell ref="A50:E53"/>
  </mergeCells>
  <dataValidations count="2">
    <dataValidation allowBlank="true" errorStyle="stop" operator="between" showDropDown="false" showErrorMessage="false" showInputMessage="false" sqref="C21" type="list">
      <formula1>"person,integration,nobody"</formula1>
      <formula2>0</formula2>
    </dataValidation>
    <dataValidation allowBlank="true" errorStyle="stop" operator="between" showDropDown="false" showErrorMessage="false" showInputMessage="false" sqref="C34:C39" type="list">
      <formula1>"YES,NO,NOT MEASURED"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18"/>
    <col collapsed="false" customWidth="true" hidden="false" outlineLevel="0" max="4" min="4" style="0" width="14"/>
    <col collapsed="false" customWidth="true" hidden="false" outlineLevel="0" max="5" min="5" style="0" width="70"/>
  </cols>
  <sheetData>
    <row r="1" customFormat="false" ht="19.7" hidden="false" customHeight="false" outlineLevel="0" collapsed="false">
      <c r="A1" s="1" t="s">
        <v>22</v>
      </c>
    </row>
    <row r="2" customFormat="false" ht="15" hidden="false" customHeight="false" outlineLevel="0" collapsed="false">
      <c r="A2" s="2" t="s">
        <v>143</v>
      </c>
    </row>
    <row r="4" customFormat="false" ht="15" hidden="false" customHeight="false" outlineLevel="0" collapsed="false">
      <c r="A4" s="5" t="s">
        <v>24</v>
      </c>
    </row>
    <row r="5" customFormat="false" ht="15" hidden="false" customHeight="false" outlineLevel="0" collapsed="false">
      <c r="A5" s="6"/>
      <c r="B5" s="6" t="s">
        <v>25</v>
      </c>
      <c r="C5" s="6" t="s">
        <v>26</v>
      </c>
      <c r="D5" s="6" t="s">
        <v>27</v>
      </c>
      <c r="E5" s="6" t="s">
        <v>28</v>
      </c>
    </row>
    <row r="6" customFormat="false" ht="57.45" hidden="false" customHeight="false" outlineLevel="0" collapsed="false">
      <c r="A6" s="3" t="s">
        <v>29</v>
      </c>
      <c r="B6" s="4" t="s">
        <v>30</v>
      </c>
      <c r="C6" s="7" t="s">
        <v>144</v>
      </c>
      <c r="D6" s="4"/>
      <c r="E6" s="8" t="s">
        <v>31</v>
      </c>
    </row>
    <row r="7" customFormat="false" ht="15" hidden="false" customHeight="false" outlineLevel="0" collapsed="false">
      <c r="A7" s="3" t="s">
        <v>32</v>
      </c>
      <c r="B7" s="4" t="s">
        <v>33</v>
      </c>
      <c r="C7" s="9" t="n">
        <v>3</v>
      </c>
      <c r="D7" s="4" t="s">
        <v>34</v>
      </c>
      <c r="E7" s="8" t="s">
        <v>35</v>
      </c>
    </row>
    <row r="8" customFormat="false" ht="15" hidden="false" customHeight="false" outlineLevel="0" collapsed="false">
      <c r="A8" s="3" t="s">
        <v>36</v>
      </c>
      <c r="B8" s="4" t="s">
        <v>37</v>
      </c>
      <c r="C8" s="9" t="n">
        <v>64</v>
      </c>
      <c r="D8" s="4" t="s">
        <v>38</v>
      </c>
      <c r="E8" s="8" t="s">
        <v>39</v>
      </c>
    </row>
    <row r="9" customFormat="false" ht="15" hidden="false" customHeight="false" outlineLevel="0" collapsed="false">
      <c r="A9" s="3" t="s">
        <v>40</v>
      </c>
      <c r="B9" s="4" t="s">
        <v>41</v>
      </c>
      <c r="C9" s="9" t="n">
        <v>10</v>
      </c>
      <c r="D9" s="4" t="s">
        <v>34</v>
      </c>
      <c r="E9" s="8" t="s">
        <v>42</v>
      </c>
    </row>
    <row r="10" customFormat="false" ht="15" hidden="false" customHeight="false" outlineLevel="0" collapsed="false">
      <c r="A10" s="3" t="s">
        <v>43</v>
      </c>
      <c r="B10" s="4" t="s">
        <v>44</v>
      </c>
      <c r="C10" s="9" t="n">
        <v>8</v>
      </c>
      <c r="D10" s="4" t="s">
        <v>45</v>
      </c>
      <c r="E10" s="8" t="s">
        <v>46</v>
      </c>
    </row>
    <row r="11" customFormat="false" ht="15" hidden="false" customHeight="false" outlineLevel="0" collapsed="false">
      <c r="A11" s="3" t="s">
        <v>47</v>
      </c>
      <c r="B11" s="4" t="s">
        <v>48</v>
      </c>
      <c r="C11" s="9" t="n">
        <v>1.03</v>
      </c>
      <c r="D11" s="4" t="s">
        <v>49</v>
      </c>
      <c r="E11" s="8" t="s">
        <v>50</v>
      </c>
    </row>
    <row r="12" customFormat="false" ht="15" hidden="false" customHeight="false" outlineLevel="0" collapsed="false">
      <c r="A12" s="3" t="s">
        <v>51</v>
      </c>
      <c r="B12" s="4" t="s">
        <v>52</v>
      </c>
      <c r="C12" s="10" t="n">
        <f aca="false">IF(C11="","",C11*3600)</f>
        <v>3708</v>
      </c>
      <c r="D12" s="4" t="s">
        <v>53</v>
      </c>
      <c r="E12" s="8" t="s">
        <v>54</v>
      </c>
    </row>
    <row r="14" customFormat="false" ht="15" hidden="false" customHeight="false" outlineLevel="0" collapsed="false">
      <c r="A14" s="5" t="s">
        <v>55</v>
      </c>
    </row>
    <row r="15" customFormat="false" ht="15" hidden="false" customHeight="false" outlineLevel="0" collapsed="false">
      <c r="A15" s="6"/>
      <c r="B15" s="6" t="s">
        <v>56</v>
      </c>
      <c r="C15" s="6" t="s">
        <v>26</v>
      </c>
      <c r="D15" s="6" t="s">
        <v>27</v>
      </c>
      <c r="E15" s="6" t="s">
        <v>57</v>
      </c>
    </row>
    <row r="16" customFormat="false" ht="15" hidden="false" customHeight="false" outlineLevel="0" collapsed="false">
      <c r="A16" s="3" t="s">
        <v>58</v>
      </c>
      <c r="B16" s="4" t="s">
        <v>59</v>
      </c>
      <c r="C16" s="11" t="n">
        <v>200</v>
      </c>
      <c r="D16" s="4" t="s">
        <v>60</v>
      </c>
      <c r="E16" s="8" t="s">
        <v>61</v>
      </c>
    </row>
    <row r="17" customFormat="false" ht="15" hidden="false" customHeight="false" outlineLevel="0" collapsed="false">
      <c r="A17" s="3" t="s">
        <v>62</v>
      </c>
      <c r="B17" s="4" t="s">
        <v>63</v>
      </c>
      <c r="C17" s="11" t="n">
        <v>8</v>
      </c>
      <c r="D17" s="4" t="s">
        <v>64</v>
      </c>
      <c r="E17" s="8" t="s">
        <v>65</v>
      </c>
    </row>
    <row r="18" customFormat="false" ht="23.85" hidden="false" customHeight="false" outlineLevel="0" collapsed="false">
      <c r="A18" s="3" t="s">
        <v>66</v>
      </c>
      <c r="B18" s="4" t="s">
        <v>67</v>
      </c>
      <c r="C18" s="11" t="n">
        <v>3</v>
      </c>
      <c r="D18" s="4" t="s">
        <v>68</v>
      </c>
      <c r="E18" s="8" t="s">
        <v>69</v>
      </c>
    </row>
    <row r="19" customFormat="false" ht="15" hidden="false" customHeight="false" outlineLevel="0" collapsed="false">
      <c r="A19" s="3" t="s">
        <v>70</v>
      </c>
      <c r="B19" s="4" t="s">
        <v>71</v>
      </c>
      <c r="C19" s="12" t="n">
        <f aca="false">IF(OR(C16="",C17="",C18=""),"",C16/(C17*3600)*C18)</f>
        <v>0.0208333333333333</v>
      </c>
      <c r="D19" s="4" t="s">
        <v>49</v>
      </c>
      <c r="E19" s="8" t="s">
        <v>72</v>
      </c>
    </row>
    <row r="20" customFormat="false" ht="23.85" hidden="false" customHeight="false" outlineLevel="0" collapsed="false">
      <c r="A20" s="3" t="s">
        <v>73</v>
      </c>
      <c r="B20" s="4" t="s">
        <v>74</v>
      </c>
      <c r="C20" s="13" t="n">
        <v>60</v>
      </c>
      <c r="D20" s="4" t="s">
        <v>38</v>
      </c>
      <c r="E20" s="8" t="s">
        <v>75</v>
      </c>
    </row>
    <row r="21" customFormat="false" ht="15" hidden="false" customHeight="false" outlineLevel="0" collapsed="false">
      <c r="A21" s="3" t="s">
        <v>76</v>
      </c>
      <c r="B21" s="4" t="s">
        <v>77</v>
      </c>
      <c r="C21" s="7" t="s">
        <v>145</v>
      </c>
      <c r="D21" s="4"/>
      <c r="E21" s="8" t="s">
        <v>78</v>
      </c>
    </row>
    <row r="23" customFormat="false" ht="15" hidden="false" customHeight="false" outlineLevel="0" collapsed="false">
      <c r="A23" s="5" t="s">
        <v>79</v>
      </c>
    </row>
    <row r="24" customFormat="false" ht="15" hidden="false" customHeight="false" outlineLevel="0" collapsed="false">
      <c r="A24" s="6"/>
      <c r="B24" s="6" t="s">
        <v>80</v>
      </c>
      <c r="C24" s="6" t="s">
        <v>26</v>
      </c>
      <c r="D24" s="6" t="s">
        <v>27</v>
      </c>
      <c r="E24" s="6" t="s">
        <v>81</v>
      </c>
    </row>
    <row r="25" customFormat="false" ht="15" hidden="false" customHeight="false" outlineLevel="0" collapsed="false">
      <c r="A25" s="3" t="s">
        <v>82</v>
      </c>
      <c r="B25" s="4" t="s">
        <v>83</v>
      </c>
      <c r="C25" s="14" t="n">
        <f aca="false">IF(OR(C20="",C8=""),"",IF(ABS(C20/C8-1)&lt;=1/3,1,C20/C8))</f>
        <v>1</v>
      </c>
      <c r="D25" s="4" t="s">
        <v>68</v>
      </c>
      <c r="E25" s="8" t="s">
        <v>84</v>
      </c>
    </row>
    <row r="26" customFormat="false" ht="15" hidden="false" customHeight="false" outlineLevel="0" collapsed="false">
      <c r="A26" s="3" t="s">
        <v>85</v>
      </c>
      <c r="B26" s="4" t="s">
        <v>86</v>
      </c>
      <c r="C26" s="14" t="n">
        <f aca="false">IF(OR(C11="",C25=""),"",C11/C25)</f>
        <v>1.03</v>
      </c>
      <c r="D26" s="4" t="s">
        <v>49</v>
      </c>
      <c r="E26" s="8" t="s">
        <v>87</v>
      </c>
    </row>
    <row r="27" customFormat="false" ht="15" hidden="false" customHeight="false" outlineLevel="0" collapsed="false">
      <c r="A27" s="3" t="s">
        <v>88</v>
      </c>
      <c r="B27" s="3" t="s">
        <v>89</v>
      </c>
      <c r="C27" s="15" t="n">
        <f aca="false">IF(OR(C19="",C26=""),"",ROUNDUP(C19/C26,0))</f>
        <v>1</v>
      </c>
      <c r="D27" s="4" t="s">
        <v>90</v>
      </c>
      <c r="E27" s="8" t="s">
        <v>91</v>
      </c>
    </row>
    <row r="28" customFormat="false" ht="15" hidden="false" customHeight="false" outlineLevel="0" collapsed="false">
      <c r="A28" s="3" t="s">
        <v>92</v>
      </c>
      <c r="B28" s="3" t="s">
        <v>93</v>
      </c>
      <c r="C28" s="15" t="n">
        <f aca="false">IF(C27="","",ROUNDUP(C27*1.5,0))</f>
        <v>2</v>
      </c>
      <c r="D28" s="4" t="s">
        <v>90</v>
      </c>
      <c r="E28" s="8" t="s">
        <v>94</v>
      </c>
    </row>
    <row r="29" customFormat="false" ht="23.85" hidden="false" customHeight="false" outlineLevel="0" collapsed="false">
      <c r="A29" s="3" t="s">
        <v>95</v>
      </c>
      <c r="B29" s="4" t="s">
        <v>96</v>
      </c>
      <c r="C29" s="16" t="n">
        <f aca="false">IF(C27="","",C19/(C27*C26))</f>
        <v>0.0202265372168285</v>
      </c>
      <c r="D29" s="4"/>
      <c r="E29" s="8" t="s">
        <v>97</v>
      </c>
    </row>
    <row r="30" customFormat="false" ht="15" hidden="false" customHeight="false" outlineLevel="0" collapsed="false">
      <c r="A30" s="3" t="s">
        <v>98</v>
      </c>
      <c r="B30" s="4" t="s">
        <v>99</v>
      </c>
      <c r="C30" s="17" t="n">
        <f aca="false">IF(C17="","",24-C17)</f>
        <v>16</v>
      </c>
      <c r="D30" s="4" t="s">
        <v>64</v>
      </c>
      <c r="E30" s="8" t="s">
        <v>100</v>
      </c>
    </row>
    <row r="32" customFormat="false" ht="15" hidden="false" customHeight="false" outlineLevel="0" collapsed="false">
      <c r="A32" s="5" t="s">
        <v>101</v>
      </c>
    </row>
    <row r="33" customFormat="false" ht="15" hidden="false" customHeight="false" outlineLevel="0" collapsed="false">
      <c r="A33" s="6"/>
      <c r="B33" s="6" t="s">
        <v>102</v>
      </c>
      <c r="C33" s="6" t="s">
        <v>103</v>
      </c>
      <c r="D33" s="6" t="s">
        <v>104</v>
      </c>
      <c r="E33" s="6" t="s">
        <v>105</v>
      </c>
    </row>
    <row r="34" customFormat="false" ht="23.85" hidden="false" customHeight="false" outlineLevel="0" collapsed="false">
      <c r="A34" s="3" t="s">
        <v>106</v>
      </c>
      <c r="B34" s="4" t="s">
        <v>107</v>
      </c>
      <c r="C34" s="7" t="s">
        <v>146</v>
      </c>
      <c r="D34" s="8" t="str">
        <f aca="false">IF(OR(C7="",C9=""),"",IF(C7&lt;C9,"YES","NO"))</f>
        <v>YES</v>
      </c>
      <c r="E34" s="8" t="s">
        <v>108</v>
      </c>
    </row>
    <row r="35" customFormat="false" ht="23.85" hidden="false" customHeight="false" outlineLevel="0" collapsed="false">
      <c r="A35" s="3" t="s">
        <v>109</v>
      </c>
      <c r="B35" s="4" t="s">
        <v>110</v>
      </c>
      <c r="C35" s="7" t="s">
        <v>146</v>
      </c>
      <c r="D35" s="8"/>
      <c r="E35" s="8" t="s">
        <v>111</v>
      </c>
    </row>
    <row r="36" customFormat="false" ht="15" hidden="false" customHeight="false" outlineLevel="0" collapsed="false">
      <c r="A36" s="3" t="s">
        <v>112</v>
      </c>
      <c r="B36" s="4" t="s">
        <v>113</v>
      </c>
      <c r="C36" s="7" t="s">
        <v>146</v>
      </c>
      <c r="D36" s="8"/>
      <c r="E36" s="8" t="s">
        <v>114</v>
      </c>
    </row>
    <row r="37" customFormat="false" ht="23.85" hidden="false" customHeight="false" outlineLevel="0" collapsed="false">
      <c r="A37" s="3" t="s">
        <v>115</v>
      </c>
      <c r="B37" s="4" t="s">
        <v>116</v>
      </c>
      <c r="C37" s="7" t="s">
        <v>147</v>
      </c>
      <c r="D37" s="8"/>
      <c r="E37" s="8" t="s">
        <v>117</v>
      </c>
    </row>
    <row r="38" customFormat="false" ht="23.85" hidden="false" customHeight="false" outlineLevel="0" collapsed="false">
      <c r="A38" s="3" t="s">
        <v>118</v>
      </c>
      <c r="B38" s="4" t="s">
        <v>119</v>
      </c>
      <c r="C38" s="7" t="s">
        <v>146</v>
      </c>
      <c r="D38" s="8"/>
      <c r="E38" s="8" t="s">
        <v>120</v>
      </c>
    </row>
    <row r="39" customFormat="false" ht="23.85" hidden="false" customHeight="false" outlineLevel="0" collapsed="false">
      <c r="A39" s="3" t="s">
        <v>121</v>
      </c>
      <c r="B39" s="4" t="s">
        <v>122</v>
      </c>
      <c r="C39" s="7" t="s">
        <v>148</v>
      </c>
      <c r="D39" s="8"/>
      <c r="E39" s="8" t="s">
        <v>123</v>
      </c>
    </row>
    <row r="41" customFormat="false" ht="15" hidden="false" customHeight="false" outlineLevel="0" collapsed="false">
      <c r="A41" s="5" t="s">
        <v>124</v>
      </c>
    </row>
    <row r="42" customFormat="false" ht="15" hidden="false" customHeight="false" outlineLevel="0" collapsed="false">
      <c r="A42" s="6"/>
      <c r="B42" s="6" t="s">
        <v>125</v>
      </c>
      <c r="C42" s="6"/>
      <c r="D42" s="6"/>
      <c r="E42" s="6" t="s">
        <v>126</v>
      </c>
    </row>
    <row r="43" customFormat="false" ht="15" hidden="false" customHeight="false" outlineLevel="0" collapsed="false">
      <c r="A43" s="3" t="s">
        <v>127</v>
      </c>
      <c r="B43" s="3" t="s">
        <v>128</v>
      </c>
      <c r="C43" s="4"/>
      <c r="D43" s="4"/>
      <c r="E43" s="4" t="s">
        <v>129</v>
      </c>
    </row>
    <row r="44" customFormat="false" ht="35.05" hidden="false" customHeight="false" outlineLevel="0" collapsed="false">
      <c r="A44" s="3" t="s">
        <v>130</v>
      </c>
      <c r="B44" s="3" t="s">
        <v>131</v>
      </c>
      <c r="C44" s="4"/>
      <c r="D44" s="4"/>
      <c r="E44" s="4" t="s">
        <v>132</v>
      </c>
    </row>
    <row r="45" customFormat="false" ht="15" hidden="false" customHeight="false" outlineLevel="0" collapsed="false">
      <c r="A45" s="3" t="s">
        <v>133</v>
      </c>
      <c r="B45" s="3" t="s">
        <v>134</v>
      </c>
      <c r="C45" s="4"/>
      <c r="D45" s="4"/>
      <c r="E45" s="4" t="s">
        <v>135</v>
      </c>
    </row>
    <row r="46" customFormat="false" ht="23.85" hidden="false" customHeight="false" outlineLevel="0" collapsed="false">
      <c r="A46" s="3" t="s">
        <v>136</v>
      </c>
      <c r="B46" s="3" t="s">
        <v>137</v>
      </c>
      <c r="C46" s="4"/>
      <c r="D46" s="4"/>
      <c r="E46" s="4" t="s">
        <v>138</v>
      </c>
    </row>
    <row r="47" customFormat="false" ht="15" hidden="false" customHeight="false" outlineLevel="0" collapsed="false">
      <c r="A47" s="3" t="s">
        <v>139</v>
      </c>
      <c r="B47" s="3" t="s">
        <v>140</v>
      </c>
      <c r="C47" s="4"/>
      <c r="D47" s="4"/>
      <c r="E47" s="4" t="s">
        <v>141</v>
      </c>
    </row>
    <row r="49" customFormat="false" ht="15" hidden="false" customHeight="false" outlineLevel="0" collapsed="false">
      <c r="A49" s="5" t="s">
        <v>142</v>
      </c>
    </row>
    <row r="50" customFormat="false" ht="21.75" hidden="false" customHeight="true" outlineLevel="0" collapsed="false">
      <c r="A50" s="18" t="s">
        <v>149</v>
      </c>
      <c r="B50" s="18"/>
      <c r="C50" s="18"/>
      <c r="D50" s="18"/>
      <c r="E50" s="18"/>
    </row>
    <row r="51" customFormat="false" ht="21.75" hidden="false" customHeight="true" outlineLevel="0" collapsed="false">
      <c r="A51" s="18"/>
      <c r="B51" s="18"/>
      <c r="C51" s="18"/>
      <c r="D51" s="18"/>
      <c r="E51" s="18"/>
    </row>
    <row r="52" customFormat="false" ht="21.75" hidden="false" customHeight="true" outlineLevel="0" collapsed="false">
      <c r="A52" s="18"/>
      <c r="B52" s="18"/>
      <c r="C52" s="18"/>
      <c r="D52" s="18"/>
      <c r="E52" s="18"/>
    </row>
    <row r="53" customFormat="false" ht="21.75" hidden="false" customHeight="true" outlineLevel="0" collapsed="false">
      <c r="A53" s="18"/>
      <c r="B53" s="18"/>
      <c r="C53" s="18"/>
      <c r="D53" s="18"/>
      <c r="E53" s="18"/>
    </row>
    <row r="56" customFormat="false" ht="15" hidden="false" customHeight="false" outlineLevel="0" collapsed="false">
      <c r="A56" s="5" t="s">
        <v>150</v>
      </c>
    </row>
    <row r="57" customFormat="false" ht="15" hidden="false" customHeight="false" outlineLevel="0" collapsed="false">
      <c r="A57" s="6"/>
      <c r="B57" s="6" t="s">
        <v>25</v>
      </c>
      <c r="C57" s="6" t="s">
        <v>151</v>
      </c>
      <c r="D57" s="6" t="s">
        <v>27</v>
      </c>
      <c r="E57" s="6" t="s">
        <v>152</v>
      </c>
    </row>
    <row r="58" customFormat="false" ht="15" hidden="false" customHeight="false" outlineLevel="0" collapsed="false">
      <c r="A58" s="3" t="s">
        <v>40</v>
      </c>
      <c r="B58" s="4" t="s">
        <v>153</v>
      </c>
      <c r="C58" s="14" t="n">
        <v>10</v>
      </c>
      <c r="D58" s="4" t="s">
        <v>34</v>
      </c>
      <c r="E58" s="8" t="s">
        <v>154</v>
      </c>
    </row>
    <row r="59" customFormat="false" ht="15" hidden="false" customHeight="false" outlineLevel="0" collapsed="false">
      <c r="A59" s="3" t="s">
        <v>43</v>
      </c>
      <c r="B59" s="4" t="s">
        <v>155</v>
      </c>
      <c r="C59" s="14" t="n">
        <v>8</v>
      </c>
      <c r="D59" s="4" t="s">
        <v>45</v>
      </c>
      <c r="E59" s="8" t="s">
        <v>156</v>
      </c>
    </row>
    <row r="60" customFormat="false" ht="15" hidden="false" customHeight="false" outlineLevel="0" collapsed="false">
      <c r="A60" s="3" t="s">
        <v>47</v>
      </c>
      <c r="B60" s="4" t="s">
        <v>157</v>
      </c>
      <c r="C60" s="14" t="n">
        <v>1.41</v>
      </c>
      <c r="D60" s="4" t="s">
        <v>49</v>
      </c>
      <c r="E60" s="8" t="s">
        <v>158</v>
      </c>
    </row>
    <row r="61" customFormat="false" ht="15" hidden="false" customHeight="false" outlineLevel="0" collapsed="false">
      <c r="A61" s="3" t="s">
        <v>51</v>
      </c>
      <c r="B61" s="4" t="s">
        <v>159</v>
      </c>
      <c r="C61" s="10" t="n">
        <f aca="false">C60*3600</f>
        <v>5076</v>
      </c>
      <c r="D61" s="4" t="s">
        <v>53</v>
      </c>
      <c r="E61" s="8" t="s">
        <v>160</v>
      </c>
    </row>
    <row r="62" customFormat="false" ht="15" hidden="false" customHeight="false" outlineLevel="0" collapsed="false">
      <c r="A62" s="3" t="s">
        <v>88</v>
      </c>
      <c r="B62" s="3" t="s">
        <v>161</v>
      </c>
      <c r="C62" s="15" t="n">
        <f aca="false">ROUNDUP((200/(8*3600)*3)/C60,0)</f>
        <v>1</v>
      </c>
      <c r="D62" s="4" t="s">
        <v>90</v>
      </c>
      <c r="E62" s="8" t="s">
        <v>162</v>
      </c>
    </row>
  </sheetData>
  <mergeCells count="1">
    <mergeCell ref="A50:E53"/>
  </mergeCells>
  <dataValidations count="2">
    <dataValidation allowBlank="true" errorStyle="stop" operator="between" showDropDown="false" showErrorMessage="false" showInputMessage="false" sqref="C21" type="list">
      <formula1>"person,integration,nobody"</formula1>
      <formula2>0</formula2>
    </dataValidation>
    <dataValidation allowBlank="true" errorStyle="stop" operator="between" showDropDown="false" showErrorMessage="false" showInputMessage="false" sqref="C34:C39" type="list">
      <formula1>"YES,NO,NOT MEASURED"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2026-09-29T00:30:47Z</dcterms:created>
  <dc:creator>openpyxl</dc:creator>
  <dc:description/>
  <dc:language>en-US</dc:language>
  <cp:lastModifiedBy/>
  <dcterms:modified xsi:type="dcterms:W3CDTF">2026-09-29T00:30:47Z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