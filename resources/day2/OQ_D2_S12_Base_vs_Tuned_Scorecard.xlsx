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Your run" sheetId="2" state="visible" r:id="rId4"/>
    <sheet name="Reference ru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<sst xmlns="http://schemas.openxmlformats.org/spreadsheetml/2006/main" count="116" uniqueCount="68">
  <si>
    <t xml:space="preserve">Base against tuned scorecard</t>
  </si>
  <si>
    <t xml:space="preserve">Advanced AI for IT | OQ | Day 2, S12 | Synthetic program material</t>
  </si>
  <si>
    <t xml:space="preserve">What it gives you</t>
  </si>
  <si>
    <t xml:space="preserve">One table a manager can read: what tuning fixed, what it did not, and which fields still need an agent or a person to check them. It feeds spec section 6 (Quality).</t>
  </si>
  <si>
    <t xml:space="preserve">Time</t>
  </si>
  <si>
    <t xml:space="preserve">About 10 minutes at the end of S12, with notebook 06's comparison table in front of you.</t>
  </si>
  <si>
    <t xml:space="preserve">Step 1</t>
  </si>
  <si>
    <t xml:space="preserve">Sheet 'Your run': copy the base and tuned counts from the notebook's comparison (n out of 20). Name the two models in C6.</t>
  </si>
  <si>
    <t xml:space="preserve">Step 2</t>
  </si>
  <si>
    <t xml:space="preserve">Set your acceptance bar in C5 (80% to start). The sheet marks every field below it.</t>
  </si>
  <si>
    <t xml:space="preserve">Step 3</t>
  </si>
  <si>
    <t xml:space="preserve">Find two tickets in the PER TICKET block worth reading by hand: one the tuned model fixed, and one it made worse. Write what happened.</t>
  </si>
  <si>
    <t xml:space="preserve">Step 4</t>
  </si>
  <si>
    <t xml:space="preserve">Write three sentences for spec section 6 in the box at the bottom.</t>
  </si>
  <si>
    <t xml:space="preserve">Rule 1</t>
  </si>
  <si>
    <t xml:space="preserve">The four measurements are reported separately and never averaged into one score. Perfect JSON with wrong content, and right content inside a code fence, fail in different ways and are fixed in different ways.</t>
  </si>
  <si>
    <t xml:space="preserve">Rule 2</t>
  </si>
  <si>
    <t xml:space="preserve">Invented values are a count, never part of an accuracy. A wrong but real value (high for medium) is an accuracy miss. A value outside the allowed list ('urgent'), a key the schema does not have, or an asset tag whose digits are not in the ticket is an invention.</t>
  </si>
  <si>
    <t xml:space="preserve">Rule 3</t>
  </si>
  <si>
    <t xml:space="preserve">20 tickets is small. Per-class rows with fewer than 5 tickets are anecdotes, not findings.</t>
  </si>
  <si>
    <t xml:space="preserve">Legend</t>
  </si>
  <si>
    <t xml:space="preserve">Yellow cells are yours. White cells are formulas: do not type over them.</t>
  </si>
  <si>
    <t xml:space="preserve">Example</t>
  </si>
  <si>
    <t xml:space="preserve">Sheet 'Reference run' is filled with the program's saved run: llama3.2:1b untuned against the same model with the pre-baked adapter, on the same 20 tickets.</t>
  </si>
  <si>
    <t xml:space="preserve">Did it work? Base against tuned, measured separately</t>
  </si>
  <si>
    <t xml:space="preserve">Day 2, S12 | Fill in the yellow cells</t>
  </si>
  <si>
    <t xml:space="preserve">Tickets in the held-out set</t>
  </si>
  <si>
    <t xml:space="preserve">Your acceptance bar per field (share right)</t>
  </si>
  <si>
    <t xml:space="preserve">Models compared</t>
  </si>
  <si>
    <t xml:space="preserve">Kind</t>
  </si>
  <si>
    <t xml:space="preserve">Measurement</t>
  </si>
  <si>
    <t xml:space="preserve">Base (n)</t>
  </si>
  <si>
    <t xml:space="preserve">Tuned (n)</t>
  </si>
  <si>
    <t xml:space="preserve">Base %</t>
  </si>
  <si>
    <t xml:space="preserve">Tuned %</t>
  </si>
  <si>
    <t xml:space="preserve">Change</t>
  </si>
  <si>
    <t xml:space="preserve">Check it? / your note</t>
  </si>
  <si>
    <t xml:space="preserve">FORMAT</t>
  </si>
  <si>
    <t xml:space="preserve">Schema-valid replies</t>
  </si>
  <si>
    <t xml:space="preserve">FIELD</t>
  </si>
  <si>
    <t xml:space="preserve">category</t>
  </si>
  <si>
    <t xml:space="preserve">affected_system</t>
  </si>
  <si>
    <t xml:space="preserve">asset_tag</t>
  </si>
  <si>
    <t xml:space="preserve">urgency</t>
  </si>
  <si>
    <t xml:space="preserve">impact</t>
  </si>
  <si>
    <t xml:space="preserve">requested_action (similarity &gt;= 0.50)</t>
  </si>
  <si>
    <t xml:space="preserve">routing_queue</t>
  </si>
  <si>
    <t xml:space="preserve">RECORD</t>
  </si>
  <si>
    <t xml:space="preserve">All six exact fields right on one ticket</t>
  </si>
  <si>
    <t xml:space="preserve">INVENTED</t>
  </si>
  <si>
    <t xml:space="preserve">Invented values (a count, never a percentage)</t>
  </si>
  <si>
    <t xml:space="preserve">Any invented value in the tuned column is a finding on its own, whatever the accuracy</t>
  </si>
  <si>
    <t xml:space="preserve">SPEED</t>
  </si>
  <si>
    <t xml:space="preserve">Median seconds per ticket</t>
  </si>
  <si>
    <t xml:space="preserve">the machine matters: write it in C6</t>
  </si>
  <si>
    <t xml:space="preserve">Two tickets worth reading by hand</t>
  </si>
  <si>
    <t xml:space="preserve">Ticket ID</t>
  </si>
  <si>
    <t xml:space="preserve">Base fields right (of 6)</t>
  </si>
  <si>
    <t xml:space="preserve">Tuned fields right (of 6)</t>
  </si>
  <si>
    <t xml:space="preserve">What happened</t>
  </si>
  <si>
    <t xml:space="preserve">For spec section 6 (Quality)</t>
  </si>
  <si>
    <t xml:space="preserve">Reference run: the program's saved eval, data/eval/heldout_20.jsonl. The base column varies between runs; the tuned column did not</t>
  </si>
  <si>
    <t xml:space="preserve">llama3.2:1b untuned  against  llama3.2:1b + pre-baked adapter (oq-ticket-tuned). Ollama 0.12.10, build machine, 20 Sept</t>
  </si>
  <si>
    <t xml:space="preserve">INC-004467</t>
  </si>
  <si>
    <t xml:space="preserve">Tuned fixed it: category, queue and requested action all right. The base model had the right idea in the wrong words.</t>
  </si>
  <si>
    <t xml:space="preserve">INC-005370</t>
  </si>
  <si>
    <t xml:space="preserve">Tuned made it worse: it called it hardware, medium, end_user_computing. The adapter learned a pattern that this ticket breaks. Worth reading before anyone trusts the averages.</t>
  </si>
  <si>
    <t xml:space="preserve">Tuning fixed the format: schema-valid replies went from 12 to 20 out of 20 and invented values from 3 to 0. Routing and the requested action now meet an 80% bar. Urgency (7 of 20) and affected system (14 of 20) do not, so an agent or a person checks those two fields before the record is written. The untuned 1B varies between runs (10 to 13 of 20 schema-valid on the same tickets); the tuned model does not.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</si>
</sst>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\+0%;\-0%;0%"/>
    <numFmt numFmtId="167" formatCode="\+0;\-0;0"/>
    <numFmt numFmtId="168" formatCode="0.00"/>
    <numFmt numFmtId="169" formatCode="\+0.00;\-0.00;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C1C6B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C1C6B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1C1C6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CE4D6"/>
      </patternFill>
    </fill>
    <fill>
      <patternFill patternType="solid">
        <fgColor rgb="FF1C1C6B"/>
        <bgColor rgb="FF3333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C1C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23.85" hidden="false" customHeight="false" outlineLevel="0" collapsed="false">
      <c r="A10" s="3" t="s">
        <v>14</v>
      </c>
      <c r="B10" s="4" t="s">
        <v>15</v>
      </c>
    </row>
    <row r="11" customFormat="false" ht="23.85" hidden="false" customHeight="false" outlineLevel="0" collapsed="false">
      <c r="A11" s="3" t="s">
        <v>16</v>
      </c>
      <c r="B11" s="4" t="s">
        <v>17</v>
      </c>
    </row>
    <row r="12" customFormat="false" ht="15" hidden="false" customHeight="false" outlineLevel="0" collapsed="false">
      <c r="A12" s="3" t="s">
        <v>18</v>
      </c>
      <c r="B12" s="4" t="s">
        <v>19</v>
      </c>
    </row>
    <row r="13" customFormat="false" ht="15" hidden="false" customHeight="false" outlineLevel="0" collapsed="false">
      <c r="A13" s="3" t="s">
        <v>20</v>
      </c>
      <c r="B13" s="4" t="s">
        <v>21</v>
      </c>
    </row>
    <row r="14" customFormat="false" ht="23.85" hidden="false" customHeight="false" outlineLevel="0" collapsed="false">
      <c r="A14" s="3" t="s">
        <v>22</v>
      </c>
      <c r="B14" s="4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7" min="3" style="0" width="11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25</v>
      </c>
    </row>
    <row r="4" customFormat="false" ht="15" hidden="false" customHeight="false" outlineLevel="0" collapsed="false">
      <c r="B4" s="3" t="s">
        <v>26</v>
      </c>
      <c r="C4" s="5" t="n">
        <v>20</v>
      </c>
    </row>
    <row r="5" customFormat="false" ht="15" hidden="false" customHeight="false" outlineLevel="0" collapsed="false">
      <c r="B5" s="3" t="s">
        <v>27</v>
      </c>
      <c r="C5" s="6" t="n">
        <v>0.8</v>
      </c>
    </row>
    <row r="6" customFormat="false" ht="15" hidden="false" customHeight="false" outlineLevel="0" collapsed="false">
      <c r="B6" s="3" t="s">
        <v>28</v>
      </c>
      <c r="C6" s="5"/>
      <c r="D6" s="5"/>
      <c r="E6" s="5"/>
      <c r="F6" s="5"/>
      <c r="G6" s="5"/>
      <c r="H6" s="5"/>
    </row>
    <row r="8" customFormat="false" ht="15" hidden="false" customHeight="false" outlineLevel="0" collapsed="false">
      <c r="A8" s="7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customFormat="false" ht="15" hidden="false" customHeight="false" outlineLevel="0" collapsed="false">
      <c r="A9" s="8" t="s">
        <v>37</v>
      </c>
      <c r="B9" s="4" t="s">
        <v>38</v>
      </c>
      <c r="C9" s="5"/>
      <c r="D9" s="5"/>
      <c r="E9" s="9" t="str">
        <f aca="false">IF(C9="","",C9/$C$4)</f>
        <v/>
      </c>
      <c r="F9" s="9" t="str">
        <f aca="false">IF(D9="","",D9/$C$4)</f>
        <v/>
      </c>
      <c r="G9" s="10" t="str">
        <f aca="false">IF(OR(C9="",D9=""),"",F9-E9)</f>
        <v/>
      </c>
      <c r="H9" s="11" t="str">
        <f aca="false">IF(D9="","",IF(F9&lt;$C$5,"Below your bar: an agent or a person checks this","Meets your bar"))</f>
        <v/>
      </c>
    </row>
    <row r="10" customFormat="false" ht="15" hidden="false" customHeight="false" outlineLevel="0" collapsed="false">
      <c r="A10" s="8" t="s">
        <v>39</v>
      </c>
      <c r="B10" s="4" t="s">
        <v>40</v>
      </c>
      <c r="C10" s="5"/>
      <c r="D10" s="5"/>
      <c r="E10" s="9" t="str">
        <f aca="false">IF(C10="","",C10/$C$4)</f>
        <v/>
      </c>
      <c r="F10" s="9" t="str">
        <f aca="false">IF(D10="","",D10/$C$4)</f>
        <v/>
      </c>
      <c r="G10" s="10" t="str">
        <f aca="false">IF(OR(C10="",D10=""),"",F10-E10)</f>
        <v/>
      </c>
      <c r="H10" s="11" t="str">
        <f aca="false">IF(D10="","",IF(F10&lt;$C$5,"Below your bar: an agent or a person checks this","Meets your bar"))</f>
        <v/>
      </c>
    </row>
    <row r="11" customFormat="false" ht="15" hidden="false" customHeight="false" outlineLevel="0" collapsed="false">
      <c r="A11" s="8" t="s">
        <v>39</v>
      </c>
      <c r="B11" s="4" t="s">
        <v>41</v>
      </c>
      <c r="C11" s="5"/>
      <c r="D11" s="5"/>
      <c r="E11" s="9" t="str">
        <f aca="false">IF(C11="","",C11/$C$4)</f>
        <v/>
      </c>
      <c r="F11" s="9" t="str">
        <f aca="false">IF(D11="","",D11/$C$4)</f>
        <v/>
      </c>
      <c r="G11" s="10" t="str">
        <f aca="false">IF(OR(C11="",D11=""),"",F11-E11)</f>
        <v/>
      </c>
      <c r="H11" s="11" t="str">
        <f aca="false">IF(D11="","",IF(F11&lt;$C$5,"Below your bar: an agent or a person checks this","Meets your bar"))</f>
        <v/>
      </c>
    </row>
    <row r="12" customFormat="false" ht="15" hidden="false" customHeight="false" outlineLevel="0" collapsed="false">
      <c r="A12" s="8" t="s">
        <v>39</v>
      </c>
      <c r="B12" s="4" t="s">
        <v>42</v>
      </c>
      <c r="C12" s="5"/>
      <c r="D12" s="5"/>
      <c r="E12" s="9" t="str">
        <f aca="false">IF(C12="","",C12/$C$4)</f>
        <v/>
      </c>
      <c r="F12" s="9" t="str">
        <f aca="false">IF(D12="","",D12/$C$4)</f>
        <v/>
      </c>
      <c r="G12" s="10" t="str">
        <f aca="false">IF(OR(C12="",D12=""),"",F12-E12)</f>
        <v/>
      </c>
      <c r="H12" s="11" t="str">
        <f aca="false">IF(D12="","",IF(F12&lt;$C$5,"Below your bar: an agent or a person checks this","Meets your bar"))</f>
        <v/>
      </c>
    </row>
    <row r="13" customFormat="false" ht="15" hidden="false" customHeight="false" outlineLevel="0" collapsed="false">
      <c r="A13" s="8" t="s">
        <v>39</v>
      </c>
      <c r="B13" s="4" t="s">
        <v>43</v>
      </c>
      <c r="C13" s="5"/>
      <c r="D13" s="5"/>
      <c r="E13" s="9" t="str">
        <f aca="false">IF(C13="","",C13/$C$4)</f>
        <v/>
      </c>
      <c r="F13" s="9" t="str">
        <f aca="false">IF(D13="","",D13/$C$4)</f>
        <v/>
      </c>
      <c r="G13" s="10" t="str">
        <f aca="false">IF(OR(C13="",D13=""),"",F13-E13)</f>
        <v/>
      </c>
      <c r="H13" s="11" t="str">
        <f aca="false">IF(D13="","",IF(F13&lt;$C$5,"Below your bar: an agent or a person checks this","Meets your bar"))</f>
        <v/>
      </c>
    </row>
    <row r="14" customFormat="false" ht="15" hidden="false" customHeight="false" outlineLevel="0" collapsed="false">
      <c r="A14" s="8" t="s">
        <v>39</v>
      </c>
      <c r="B14" s="4" t="s">
        <v>44</v>
      </c>
      <c r="C14" s="5"/>
      <c r="D14" s="5"/>
      <c r="E14" s="9" t="str">
        <f aca="false">IF(C14="","",C14/$C$4)</f>
        <v/>
      </c>
      <c r="F14" s="9" t="str">
        <f aca="false">IF(D14="","",D14/$C$4)</f>
        <v/>
      </c>
      <c r="G14" s="10" t="str">
        <f aca="false">IF(OR(C14="",D14=""),"",F14-E14)</f>
        <v/>
      </c>
      <c r="H14" s="11" t="str">
        <f aca="false">IF(D14="","",IF(F14&lt;$C$5,"Below your bar: an agent or a person checks this","Meets your bar"))</f>
        <v/>
      </c>
    </row>
    <row r="15" customFormat="false" ht="15" hidden="false" customHeight="false" outlineLevel="0" collapsed="false">
      <c r="A15" s="8" t="s">
        <v>39</v>
      </c>
      <c r="B15" s="4" t="s">
        <v>45</v>
      </c>
      <c r="C15" s="5"/>
      <c r="D15" s="5"/>
      <c r="E15" s="9" t="str">
        <f aca="false">IF(C15="","",C15/$C$4)</f>
        <v/>
      </c>
      <c r="F15" s="9" t="str">
        <f aca="false">IF(D15="","",D15/$C$4)</f>
        <v/>
      </c>
      <c r="G15" s="10" t="str">
        <f aca="false">IF(OR(C15="",D15=""),"",F15-E15)</f>
        <v/>
      </c>
      <c r="H15" s="11" t="str">
        <f aca="false">IF(D15="","",IF(F15&lt;$C$5,"Below your bar: an agent or a person checks this","Meets your bar"))</f>
        <v/>
      </c>
    </row>
    <row r="16" customFormat="false" ht="15" hidden="false" customHeight="false" outlineLevel="0" collapsed="false">
      <c r="A16" s="8" t="s">
        <v>39</v>
      </c>
      <c r="B16" s="4" t="s">
        <v>46</v>
      </c>
      <c r="C16" s="5"/>
      <c r="D16" s="5"/>
      <c r="E16" s="9" t="str">
        <f aca="false">IF(C16="","",C16/$C$4)</f>
        <v/>
      </c>
      <c r="F16" s="9" t="str">
        <f aca="false">IF(D16="","",D16/$C$4)</f>
        <v/>
      </c>
      <c r="G16" s="10" t="str">
        <f aca="false">IF(OR(C16="",D16=""),"",F16-E16)</f>
        <v/>
      </c>
      <c r="H16" s="11" t="str">
        <f aca="false">IF(D16="","",IF(F16&lt;$C$5,"Below your bar: an agent or a person checks this","Meets your bar"))</f>
        <v/>
      </c>
    </row>
    <row r="17" customFormat="false" ht="15" hidden="false" customHeight="false" outlineLevel="0" collapsed="false">
      <c r="A17" s="8" t="s">
        <v>47</v>
      </c>
      <c r="B17" s="4" t="s">
        <v>48</v>
      </c>
      <c r="C17" s="5"/>
      <c r="D17" s="5"/>
      <c r="E17" s="9" t="str">
        <f aca="false">IF(C17="","",C17/$C$4)</f>
        <v/>
      </c>
      <c r="F17" s="9" t="str">
        <f aca="false">IF(D17="","",D17/$C$4)</f>
        <v/>
      </c>
      <c r="G17" s="10" t="str">
        <f aca="false">IF(OR(C17="",D17=""),"",F17-E17)</f>
        <v/>
      </c>
      <c r="H17" s="11" t="str">
        <f aca="false">IF(D17="","",IF(F17&lt;$C$5,"Below your bar: an agent or a person checks this","Meets your bar"))</f>
        <v/>
      </c>
    </row>
    <row r="18" customFormat="false" ht="23.85" hidden="false" customHeight="false" outlineLevel="0" collapsed="false">
      <c r="A18" s="8" t="s">
        <v>49</v>
      </c>
      <c r="B18" s="4" t="s">
        <v>50</v>
      </c>
      <c r="C18" s="5"/>
      <c r="D18" s="5"/>
      <c r="E18" s="4"/>
      <c r="F18" s="4"/>
      <c r="G18" s="12" t="str">
        <f aca="false">IF(OR(C18="",D18=""),"",D18-C18)</f>
        <v/>
      </c>
      <c r="H18" s="11" t="s">
        <v>51</v>
      </c>
    </row>
    <row r="19" customFormat="false" ht="15" hidden="false" customHeight="false" outlineLevel="0" collapsed="false">
      <c r="A19" s="8" t="s">
        <v>52</v>
      </c>
      <c r="B19" s="4" t="s">
        <v>53</v>
      </c>
      <c r="C19" s="13"/>
      <c r="D19" s="13"/>
      <c r="E19" s="4"/>
      <c r="F19" s="4"/>
      <c r="G19" s="14" t="str">
        <f aca="false">IF(OR(C19="",D19=""),"",D19-C19)</f>
        <v/>
      </c>
      <c r="H19" s="11" t="s">
        <v>54</v>
      </c>
    </row>
    <row r="21" customFormat="false" ht="15" hidden="false" customHeight="false" outlineLevel="0" collapsed="false">
      <c r="A21" s="15" t="s">
        <v>55</v>
      </c>
    </row>
    <row r="22" customFormat="false" ht="35.05" hidden="false" customHeight="false" outlineLevel="0" collapsed="false">
      <c r="A22" s="7"/>
      <c r="B22" s="7" t="s">
        <v>56</v>
      </c>
      <c r="C22" s="7" t="s">
        <v>57</v>
      </c>
      <c r="D22" s="7" t="s">
        <v>58</v>
      </c>
      <c r="E22" s="7"/>
      <c r="F22" s="7"/>
      <c r="G22" s="7"/>
      <c r="H22" s="7" t="s">
        <v>59</v>
      </c>
    </row>
    <row r="23" customFormat="false" ht="45" hidden="false" customHeight="true" outlineLevel="0" collapsed="false">
      <c r="A23" s="4"/>
      <c r="B23" s="5"/>
      <c r="C23" s="5"/>
      <c r="D23" s="5"/>
      <c r="E23" s="4"/>
      <c r="F23" s="4"/>
      <c r="G23" s="4"/>
      <c r="H23" s="5"/>
    </row>
    <row r="24" customFormat="false" ht="45" hidden="false" customHeight="true" outlineLevel="0" collapsed="false">
      <c r="A24" s="4"/>
      <c r="B24" s="5"/>
      <c r="C24" s="5"/>
      <c r="D24" s="5"/>
      <c r="E24" s="4"/>
      <c r="F24" s="4"/>
      <c r="G24" s="4"/>
      <c r="H24" s="5"/>
    </row>
    <row r="26" customFormat="false" ht="15" hidden="false" customHeight="false" outlineLevel="0" collapsed="false">
      <c r="A26" s="15" t="s">
        <v>60</v>
      </c>
    </row>
    <row r="27" customFormat="false" ht="21.75" hidden="false" customHeight="true" outlineLevel="0" collapsed="false">
      <c r="A27" s="16"/>
      <c r="B27" s="16"/>
      <c r="C27" s="16"/>
      <c r="D27" s="16"/>
      <c r="E27" s="16"/>
      <c r="F27" s="16"/>
      <c r="G27" s="16"/>
      <c r="H27" s="16"/>
    </row>
    <row r="28" customFormat="false" ht="21.7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</row>
    <row r="29" customFormat="false" ht="21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</row>
    <row r="30" customFormat="false" ht="21.7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</row>
  </sheetData>
  <mergeCells count="2">
    <mergeCell ref="C6:H6"/>
    <mergeCell ref="A27:H30"/>
  </mergeCells>
  <conditionalFormatting sqref="H9:H17">
    <cfRule type="expression" priority="2" aboveAverage="0" equalAverage="0" bottom="0" percent="0" rank="0" text="" dxfId="0">
      <formula>ISNUMBER(SEARCH("Below",H9))</formula>
    </cfRule>
  </conditionalFormatting>
  <conditionalFormatting sqref="G9:G17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7" min="3" style="0" width="11"/>
    <col collapsed="false" customWidth="true" hidden="false" outlineLevel="0" max="8" min="8" style="0" width="46"/>
  </cols>
  <sheetData>
    <row r="1" customFormat="false" ht="19.7" hidden="false" customHeight="false" outlineLevel="0" collapsed="false">
      <c r="A1" s="1" t="s">
        <v>24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B4" s="3" t="s">
        <v>26</v>
      </c>
      <c r="C4" s="5" t="n">
        <v>20</v>
      </c>
    </row>
    <row r="5" customFormat="false" ht="15" hidden="false" customHeight="false" outlineLevel="0" collapsed="false">
      <c r="B5" s="3" t="s">
        <v>27</v>
      </c>
      <c r="C5" s="6" t="n">
        <v>0.8</v>
      </c>
    </row>
    <row r="6" customFormat="false" ht="15" hidden="false" customHeight="true" outlineLevel="0" collapsed="false">
      <c r="B6" s="3" t="s">
        <v>28</v>
      </c>
      <c r="C6" s="5" t="s">
        <v>62</v>
      </c>
      <c r="D6" s="5"/>
      <c r="E6" s="5"/>
      <c r="F6" s="5"/>
      <c r="G6" s="5"/>
      <c r="H6" s="5"/>
    </row>
    <row r="8" customFormat="false" ht="15" hidden="false" customHeight="false" outlineLevel="0" collapsed="false">
      <c r="A8" s="7" t="s">
        <v>29</v>
      </c>
      <c r="B8" s="7" t="s">
        <v>30</v>
      </c>
      <c r="C8" s="7" t="s">
        <v>31</v>
      </c>
      <c r="D8" s="7" t="s">
        <v>32</v>
      </c>
      <c r="E8" s="7" t="s">
        <v>33</v>
      </c>
      <c r="F8" s="7" t="s">
        <v>34</v>
      </c>
      <c r="G8" s="7" t="s">
        <v>35</v>
      </c>
      <c r="H8" s="7" t="s">
        <v>36</v>
      </c>
    </row>
    <row r="9" customFormat="false" ht="15" hidden="false" customHeight="false" outlineLevel="0" collapsed="false">
      <c r="A9" s="8" t="s">
        <v>37</v>
      </c>
      <c r="B9" s="4" t="s">
        <v>38</v>
      </c>
      <c r="C9" s="5" t="n">
        <v>12</v>
      </c>
      <c r="D9" s="5" t="n">
        <v>20</v>
      </c>
      <c r="E9" s="9" t="n">
        <f aca="false">IF(C9="","",C9/$C$4)</f>
        <v>0.6</v>
      </c>
      <c r="F9" s="9" t="n">
        <f aca="false">IF(D9="","",D9/$C$4)</f>
        <v>1</v>
      </c>
      <c r="G9" s="10" t="n">
        <f aca="false">IF(OR(C9="",D9=""),"",F9-E9)</f>
        <v>0.4</v>
      </c>
      <c r="H9" s="11" t="str">
        <f aca="false">IF(D9="","",IF(F9&lt;$C$5,"Below your bar: an agent or a person checks this","Meets your bar"))</f>
        <v>Meets your bar</v>
      </c>
    </row>
    <row r="10" customFormat="false" ht="15" hidden="false" customHeight="false" outlineLevel="0" collapsed="false">
      <c r="A10" s="8" t="s">
        <v>39</v>
      </c>
      <c r="B10" s="4" t="s">
        <v>40</v>
      </c>
      <c r="C10" s="5" t="n">
        <v>8</v>
      </c>
      <c r="D10" s="5" t="n">
        <v>16</v>
      </c>
      <c r="E10" s="9" t="n">
        <f aca="false">IF(C10="","",C10/$C$4)</f>
        <v>0.4</v>
      </c>
      <c r="F10" s="9" t="n">
        <f aca="false">IF(D10="","",D10/$C$4)</f>
        <v>0.8</v>
      </c>
      <c r="G10" s="10" t="n">
        <f aca="false">IF(OR(C10="",D10=""),"",F10-E10)</f>
        <v>0.4</v>
      </c>
      <c r="H10" s="11" t="str">
        <f aca="false">IF(D10="","",IF(F10&lt;$C$5,"Below your bar: an agent or a person checks this","Meets your bar"))</f>
        <v>Meets your bar</v>
      </c>
    </row>
    <row r="11" customFormat="false" ht="15" hidden="false" customHeight="false" outlineLevel="0" collapsed="false">
      <c r="A11" s="8" t="s">
        <v>39</v>
      </c>
      <c r="B11" s="4" t="s">
        <v>41</v>
      </c>
      <c r="C11" s="5" t="n">
        <v>11</v>
      </c>
      <c r="D11" s="5" t="n">
        <v>14</v>
      </c>
      <c r="E11" s="9" t="n">
        <f aca="false">IF(C11="","",C11/$C$4)</f>
        <v>0.55</v>
      </c>
      <c r="F11" s="9" t="n">
        <f aca="false">IF(D11="","",D11/$C$4)</f>
        <v>0.7</v>
      </c>
      <c r="G11" s="10" t="n">
        <f aca="false">IF(OR(C11="",D11=""),"",F11-E11)</f>
        <v>0.15</v>
      </c>
      <c r="H11" s="11" t="str">
        <f aca="false">IF(D11="","",IF(F11&lt;$C$5,"Below your bar: an agent or a person checks this","Meets your bar"))</f>
        <v>Below your bar: an agent or a person checks this</v>
      </c>
    </row>
    <row r="12" customFormat="false" ht="15" hidden="false" customHeight="false" outlineLevel="0" collapsed="false">
      <c r="A12" s="8" t="s">
        <v>39</v>
      </c>
      <c r="B12" s="4" t="s">
        <v>42</v>
      </c>
      <c r="C12" s="5" t="n">
        <v>15</v>
      </c>
      <c r="D12" s="5" t="n">
        <v>20</v>
      </c>
      <c r="E12" s="9" t="n">
        <f aca="false">IF(C12="","",C12/$C$4)</f>
        <v>0.75</v>
      </c>
      <c r="F12" s="9" t="n">
        <f aca="false">IF(D12="","",D12/$C$4)</f>
        <v>1</v>
      </c>
      <c r="G12" s="10" t="n">
        <f aca="false">IF(OR(C12="",D12=""),"",F12-E12)</f>
        <v>0.25</v>
      </c>
      <c r="H12" s="11" t="str">
        <f aca="false">IF(D12="","",IF(F12&lt;$C$5,"Below your bar: an agent or a person checks this","Meets your bar"))</f>
        <v>Meets your bar</v>
      </c>
    </row>
    <row r="13" customFormat="false" ht="15" hidden="false" customHeight="false" outlineLevel="0" collapsed="false">
      <c r="A13" s="8" t="s">
        <v>39</v>
      </c>
      <c r="B13" s="4" t="s">
        <v>43</v>
      </c>
      <c r="C13" s="5" t="n">
        <v>4</v>
      </c>
      <c r="D13" s="5" t="n">
        <v>7</v>
      </c>
      <c r="E13" s="9" t="n">
        <f aca="false">IF(C13="","",C13/$C$4)</f>
        <v>0.2</v>
      </c>
      <c r="F13" s="9" t="n">
        <f aca="false">IF(D13="","",D13/$C$4)</f>
        <v>0.35</v>
      </c>
      <c r="G13" s="10" t="n">
        <f aca="false">IF(OR(C13="",D13=""),"",F13-E13)</f>
        <v>0.15</v>
      </c>
      <c r="H13" s="11" t="str">
        <f aca="false">IF(D13="","",IF(F13&lt;$C$5,"Below your bar: an agent or a person checks this","Meets your bar"))</f>
        <v>Below your bar: an agent or a person checks this</v>
      </c>
    </row>
    <row r="14" customFormat="false" ht="15" hidden="false" customHeight="false" outlineLevel="0" collapsed="false">
      <c r="A14" s="8" t="s">
        <v>39</v>
      </c>
      <c r="B14" s="4" t="s">
        <v>44</v>
      </c>
      <c r="C14" s="5" t="n">
        <v>14</v>
      </c>
      <c r="D14" s="5" t="n">
        <v>19</v>
      </c>
      <c r="E14" s="9" t="n">
        <f aca="false">IF(C14="","",C14/$C$4)</f>
        <v>0.7</v>
      </c>
      <c r="F14" s="9" t="n">
        <f aca="false">IF(D14="","",D14/$C$4)</f>
        <v>0.95</v>
      </c>
      <c r="G14" s="10" t="n">
        <f aca="false">IF(OR(C14="",D14=""),"",F14-E14)</f>
        <v>0.25</v>
      </c>
      <c r="H14" s="11" t="str">
        <f aca="false">IF(D14="","",IF(F14&lt;$C$5,"Below your bar: an agent or a person checks this","Meets your bar"))</f>
        <v>Meets your bar</v>
      </c>
    </row>
    <row r="15" customFormat="false" ht="15" hidden="false" customHeight="false" outlineLevel="0" collapsed="false">
      <c r="A15" s="8" t="s">
        <v>39</v>
      </c>
      <c r="B15" s="4" t="s">
        <v>45</v>
      </c>
      <c r="C15" s="5" t="n">
        <v>1</v>
      </c>
      <c r="D15" s="5" t="n">
        <v>16</v>
      </c>
      <c r="E15" s="9" t="n">
        <f aca="false">IF(C15="","",C15/$C$4)</f>
        <v>0.05</v>
      </c>
      <c r="F15" s="9" t="n">
        <f aca="false">IF(D15="","",D15/$C$4)</f>
        <v>0.8</v>
      </c>
      <c r="G15" s="10" t="n">
        <f aca="false">IF(OR(C15="",D15=""),"",F15-E15)</f>
        <v>0.75</v>
      </c>
      <c r="H15" s="11" t="str">
        <f aca="false">IF(D15="","",IF(F15&lt;$C$5,"Below your bar: an agent or a person checks this","Meets your bar"))</f>
        <v>Meets your bar</v>
      </c>
    </row>
    <row r="16" customFormat="false" ht="15" hidden="false" customHeight="false" outlineLevel="0" collapsed="false">
      <c r="A16" s="8" t="s">
        <v>39</v>
      </c>
      <c r="B16" s="4" t="s">
        <v>46</v>
      </c>
      <c r="C16" s="5" t="n">
        <v>7</v>
      </c>
      <c r="D16" s="5" t="n">
        <v>16</v>
      </c>
      <c r="E16" s="9" t="n">
        <f aca="false">IF(C16="","",C16/$C$4)</f>
        <v>0.35</v>
      </c>
      <c r="F16" s="9" t="n">
        <f aca="false">IF(D16="","",D16/$C$4)</f>
        <v>0.8</v>
      </c>
      <c r="G16" s="10" t="n">
        <f aca="false">IF(OR(C16="",D16=""),"",F16-E16)</f>
        <v>0.45</v>
      </c>
      <c r="H16" s="11" t="str">
        <f aca="false">IF(D16="","",IF(F16&lt;$C$5,"Below your bar: an agent or a person checks this","Meets your bar"))</f>
        <v>Meets your bar</v>
      </c>
    </row>
    <row r="17" customFormat="false" ht="15" hidden="false" customHeight="false" outlineLevel="0" collapsed="false">
      <c r="A17" s="8" t="s">
        <v>47</v>
      </c>
      <c r="B17" s="4" t="s">
        <v>48</v>
      </c>
      <c r="C17" s="5" t="n">
        <v>2</v>
      </c>
      <c r="D17" s="5" t="n">
        <v>4</v>
      </c>
      <c r="E17" s="9" t="n">
        <f aca="false">IF(C17="","",C17/$C$4)</f>
        <v>0.1</v>
      </c>
      <c r="F17" s="9" t="n">
        <f aca="false">IF(D17="","",D17/$C$4)</f>
        <v>0.2</v>
      </c>
      <c r="G17" s="10" t="n">
        <f aca="false">IF(OR(C17="",D17=""),"",F17-E17)</f>
        <v>0.1</v>
      </c>
      <c r="H17" s="11" t="str">
        <f aca="false">IF(D17="","",IF(F17&lt;$C$5,"Below your bar: an agent or a person checks this","Meets your bar"))</f>
        <v>Below your bar: an agent or a person checks this</v>
      </c>
    </row>
    <row r="18" customFormat="false" ht="23.85" hidden="false" customHeight="false" outlineLevel="0" collapsed="false">
      <c r="A18" s="8" t="s">
        <v>49</v>
      </c>
      <c r="B18" s="4" t="s">
        <v>50</v>
      </c>
      <c r="C18" s="5" t="n">
        <v>3</v>
      </c>
      <c r="D18" s="5" t="n">
        <v>0</v>
      </c>
      <c r="E18" s="4"/>
      <c r="F18" s="4"/>
      <c r="G18" s="12" t="n">
        <f aca="false">IF(OR(C18="",D18=""),"",D18-C18)</f>
        <v>-3</v>
      </c>
      <c r="H18" s="11" t="s">
        <v>51</v>
      </c>
    </row>
    <row r="19" customFormat="false" ht="15" hidden="false" customHeight="false" outlineLevel="0" collapsed="false">
      <c r="A19" s="8" t="s">
        <v>52</v>
      </c>
      <c r="B19" s="4" t="s">
        <v>53</v>
      </c>
      <c r="C19" s="13" t="n">
        <v>3.54</v>
      </c>
      <c r="D19" s="13" t="n">
        <v>2.1</v>
      </c>
      <c r="E19" s="4"/>
      <c r="F19" s="4"/>
      <c r="G19" s="14" t="n">
        <f aca="false">IF(OR(C19="",D19=""),"",D19-C19)</f>
        <v>-1.44</v>
      </c>
      <c r="H19" s="11" t="s">
        <v>54</v>
      </c>
    </row>
    <row r="21" customFormat="false" ht="15" hidden="false" customHeight="false" outlineLevel="0" collapsed="false">
      <c r="A21" s="15" t="s">
        <v>55</v>
      </c>
    </row>
    <row r="22" customFormat="false" ht="35.05" hidden="false" customHeight="false" outlineLevel="0" collapsed="false">
      <c r="A22" s="7"/>
      <c r="B22" s="7" t="s">
        <v>56</v>
      </c>
      <c r="C22" s="7" t="s">
        <v>57</v>
      </c>
      <c r="D22" s="7" t="s">
        <v>58</v>
      </c>
      <c r="E22" s="7"/>
      <c r="F22" s="7"/>
      <c r="G22" s="7"/>
      <c r="H22" s="7" t="s">
        <v>59</v>
      </c>
    </row>
    <row r="23" customFormat="false" ht="45" hidden="false" customHeight="true" outlineLevel="0" collapsed="false">
      <c r="A23" s="4"/>
      <c r="B23" s="5" t="s">
        <v>63</v>
      </c>
      <c r="C23" s="5" t="n">
        <v>3</v>
      </c>
      <c r="D23" s="5" t="n">
        <v>6</v>
      </c>
      <c r="E23" s="4"/>
      <c r="F23" s="4"/>
      <c r="G23" s="4"/>
      <c r="H23" s="5" t="s">
        <v>64</v>
      </c>
    </row>
    <row r="24" customFormat="false" ht="45" hidden="false" customHeight="true" outlineLevel="0" collapsed="false">
      <c r="A24" s="4"/>
      <c r="B24" s="5" t="s">
        <v>65</v>
      </c>
      <c r="C24" s="5" t="n">
        <v>5</v>
      </c>
      <c r="D24" s="5" t="n">
        <v>3</v>
      </c>
      <c r="E24" s="4"/>
      <c r="F24" s="4"/>
      <c r="G24" s="4"/>
      <c r="H24" s="5" t="s">
        <v>66</v>
      </c>
    </row>
    <row r="26" customFormat="false" ht="15" hidden="false" customHeight="false" outlineLevel="0" collapsed="false">
      <c r="A26" s="15" t="s">
        <v>60</v>
      </c>
    </row>
    <row r="27" customFormat="false" ht="21.75" hidden="false" customHeight="true" outlineLevel="0" collapsed="false">
      <c r="A27" s="16" t="s">
        <v>67</v>
      </c>
      <c r="B27" s="16"/>
      <c r="C27" s="16"/>
      <c r="D27" s="16"/>
      <c r="E27" s="16"/>
      <c r="F27" s="16"/>
      <c r="G27" s="16"/>
      <c r="H27" s="16"/>
    </row>
    <row r="28" customFormat="false" ht="21.75" hidden="false" customHeight="true" outlineLevel="0" collapsed="false">
      <c r="A28" s="16"/>
      <c r="B28" s="16"/>
      <c r="C28" s="16"/>
      <c r="D28" s="16"/>
      <c r="E28" s="16"/>
      <c r="F28" s="16"/>
      <c r="G28" s="16"/>
      <c r="H28" s="16"/>
    </row>
    <row r="29" customFormat="false" ht="21.75" hidden="false" customHeight="true" outlineLevel="0" collapsed="false">
      <c r="A29" s="16"/>
      <c r="B29" s="16"/>
      <c r="C29" s="16"/>
      <c r="D29" s="16"/>
      <c r="E29" s="16"/>
      <c r="F29" s="16"/>
      <c r="G29" s="16"/>
      <c r="H29" s="16"/>
    </row>
    <row r="30" customFormat="false" ht="21.75" hidden="false" customHeight="true" outlineLevel="0" collapsed="false">
      <c r="A30" s="16"/>
      <c r="B30" s="16"/>
      <c r="C30" s="16"/>
      <c r="D30" s="16"/>
      <c r="E30" s="16"/>
      <c r="F30" s="16"/>
      <c r="G30" s="16"/>
      <c r="H30" s="16"/>
    </row>
  </sheetData>
  <mergeCells count="2">
    <mergeCell ref="C6:H6"/>
    <mergeCell ref="A27:H30"/>
  </mergeCells>
  <conditionalFormatting sqref="H9:H17">
    <cfRule type="expression" priority="2" aboveAverage="0" equalAverage="0" bottom="0" percent="0" rank="0" text="" dxfId="0">
      <formula>ISNUMBER(SEARCH("Below",H9))</formula>
    </cfRule>
  </conditionalFormatting>
  <conditionalFormatting sqref="G9:G17">
    <cfRule type="cellIs" priority="3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2026-09-29T00:30:47Z</dcterms:created>
  <dc:creator>openpyxl</dc:creator>
  <dc:description/>
  <dc:language>en-US</dc:language>
  <cp:lastModifiedBy/>
  <dcterms:modified xsi:type="dcterms:W3CDTF">2026-09-29T00:30:47Z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