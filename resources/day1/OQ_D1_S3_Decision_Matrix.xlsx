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1 Gates" sheetId="2" state="visible" r:id="rId4"/>
    <sheet name="2 Scoring" sheetId="3" state="visible" r:id="rId5"/>
    <sheet name="3 Defend it" sheetId="4" state="visible" r:id="rId6"/>
    <sheet name="Worked exampl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<sst xmlns="http://schemas.openxmlformats.org/spreadsheetml/2006/main" count="185" uniqueCount="167">
  <si>
    <t xml:space="preserve">Build, buy or host: decision matrix</t>
  </si>
  <si>
    <t xml:space="preserve">Advanced AI for IT | OQ | Day 1, S3 | Synthetic program material</t>
  </si>
  <si>
    <t xml:space="preserve">What this gives you</t>
  </si>
  <si>
    <t xml:space="preserve">One page a manager can read in three minutes: the gates, the scored table, the choice, and the sentence that says what would flip it. It feeds section 2 of your architecture spec.</t>
  </si>
  <si>
    <t xml:space="preserve">Time</t>
  </si>
  <si>
    <t xml:space="preserve">About 12 minutes in S3. You revise the cost row in S4 with numbers from cost_model.xlsx, and the quality row on Day 2 and Day 4 with real eval numbers.</t>
  </si>
  <si>
    <t xml:space="preserve">Step 1</t>
  </si>
  <si>
    <t xml:space="preserve">Sheet '1 Gates': answer the five gates. A NO removes options; scores cannot buy back a failed gate. Write who answered and when.</t>
  </si>
  <si>
    <t xml:space="preserve">Step 2</t>
  </si>
  <si>
    <t xml:space="preserve">Sheet '2 Scoring': score each option 1, 3 or 5 against the eight criteria (2 and 4 if you must). Change the weights out loud if your case needs it. They must add to 100.</t>
  </si>
  <si>
    <t xml:space="preserve">Step 3</t>
  </si>
  <si>
    <t xml:space="preserve">Sheet '3 Defend it': write the five sentences. If you cannot write sentence 5, you have not understood your own table.</t>
  </si>
  <si>
    <t xml:space="preserve">Legend</t>
  </si>
  <si>
    <t xml:space="preserve">Yellow cells are yours to fill in. White cells are formulas or guidance: do not type over them.</t>
  </si>
  <si>
    <t xml:space="preserve">Example</t>
  </si>
  <si>
    <t xml:space="preserve">Sheet 'Worked example' shows the whole thing filled for use case brief 1, ticket triage. It is invented and it is one answer, not the answer.</t>
  </si>
  <si>
    <t xml:space="preserve">The four options</t>
  </si>
  <si>
    <t xml:space="preserve">Option</t>
  </si>
  <si>
    <t xml:space="preserve">What it means in practice</t>
  </si>
  <si>
    <t xml:space="preserve">A  Buy, direct</t>
  </si>
  <si>
    <t xml:space="preserve">A vendor API key (OpenAI, Anthropic, Google). Fastest. Data goes to the vendor under their DPA, routed globally unless you pay for a region.</t>
  </si>
  <si>
    <t xml:space="preserve">B  Buy, through your tenant</t>
  </si>
  <si>
    <t xml:space="preserve">The same models inside your cloud subscription: Azure OpenAI (Global, Data Zone or Regional), Claude in Microsoft Foundry, Bedrock. Same token prices or slightly more; your IAM, your network, your invoice.</t>
  </si>
  <si>
    <t xml:space="preserve">C  Host, as-is</t>
  </si>
  <si>
    <t xml:space="preserve">An open-weight model (Llama, Qwen, Mistral) on a VM you control, served by Ollama or vLLM behind the same OpenAI-compatible API. Nothing leaves the VM.</t>
  </si>
  <si>
    <t xml:space="preserve">D  Host, fine-tuned</t>
  </si>
  <si>
    <t xml:space="preserve">C plus an adapter you trained on your own examples: the Day 2 lab. The model learns your format and house conventions. You now own a model, not just a server.</t>
  </si>
  <si>
    <t xml:space="preserve">Build from scratch is not an option in this room. Nobody here trains a foundation model, and the week does not pretend otherwise.</t>
  </si>
  <si>
    <t xml:space="preserve">Step 1: the gates (2 minutes)</t>
  </si>
  <si>
    <t xml:space="preserve">Answer before scoring anything. A NO removes options; it does not lower a score.</t>
  </si>
  <si>
    <t xml:space="preserve">Gate</t>
  </si>
  <si>
    <t xml:space="preserve">Question</t>
  </si>
  <si>
    <t xml:space="preserve">Answer (Yes / No)</t>
  </si>
  <si>
    <t xml:space="preserve">Who said so</t>
  </si>
  <si>
    <t xml:space="preserve">Date</t>
  </si>
  <si>
    <t xml:space="preserve">If NO, remove</t>
  </si>
  <si>
    <t xml:space="preserve">G1</t>
  </si>
  <si>
    <t xml:space="preserve">May this data be processed by a vendor at all, under a data processing agreement, even inside your own cloud tenant?</t>
  </si>
  <si>
    <t xml:space="preserve">A and B</t>
  </si>
  <si>
    <t xml:space="preserve">G2</t>
  </si>
  <si>
    <t xml:space="preserve">May this data leave the country or your cloud region?</t>
  </si>
  <si>
    <t xml:space="preserve">A; and B unless a regional or data-zone deployment is confirmed (row 11)</t>
  </si>
  <si>
    <t xml:space="preserve">G3</t>
  </si>
  <si>
    <t xml:space="preserve">Can the system reach the internet or the vendor endpoint from where it will run?</t>
  </si>
  <si>
    <t xml:space="preserve">G4</t>
  </si>
  <si>
    <t xml:space="preserve">Is there measured evidence that a small open-weight model reaches the quality bar (or can, with tuning)? Day 2 S12 produces it.</t>
  </si>
  <si>
    <t xml:space="preserve">C and D until you have the evidence</t>
  </si>
  <si>
    <t xml:space="preserve">G5</t>
  </si>
  <si>
    <t xml:space="preserve">Is there a team that will patch, monitor and be on call for a GPU VM after the week?</t>
  </si>
  <si>
    <t xml:space="preserve">C and D</t>
  </si>
  <si>
    <t xml:space="preserve">If G2 is No: is a regional or data-zone deployment confirmed for your exact model? (Yes / No)</t>
  </si>
  <si>
    <t xml:space="preserve">Which options are still standing</t>
  </si>
  <si>
    <t xml:space="preserve">Removed?</t>
  </si>
  <si>
    <t xml:space="preserve">Write the answers down with who said so. "The data owner said yes on 2026-09-27" is a fact. "Probably fine" is not. A blank gate counts as Yes here, so fill every one.</t>
  </si>
  <si>
    <t xml:space="preserve">Step 2: score the four options</t>
  </si>
  <si>
    <t xml:space="preserve">Score 1, 3 or 5 (2 and 4 if you must). Weights must add to 100. Weighted total = sum of weight x score.</t>
  </si>
  <si>
    <t xml:space="preserve">#</t>
  </si>
  <si>
    <t xml:space="preserve">Criterion</t>
  </si>
  <si>
    <t xml:space="preserve">Weight</t>
  </si>
  <si>
    <t xml:space="preserve">A direct</t>
  </si>
  <si>
    <t xml:space="preserve">B tenant</t>
  </si>
  <si>
    <t xml:space="preserve">C host</t>
  </si>
  <si>
    <t xml:space="preserve">D host + tune</t>
  </si>
  <si>
    <t xml:space="preserve">Why (one line)</t>
  </si>
  <si>
    <t xml:space="preserve">Score 1 means</t>
  </si>
  <si>
    <t xml:space="preserve">Score 3 means</t>
  </si>
  <si>
    <t xml:space="preserve">Score 5 means</t>
  </si>
  <si>
    <t xml:space="preserve">Data residency and classification: where the prompt text and outputs physically go</t>
  </si>
  <si>
    <t xml:space="preserve">Leaves the country to a vendor's global pool</t>
  </si>
  <si>
    <t xml:space="preserve">Stays with a vendor in a region or data zone you chose, under a DPA</t>
  </si>
  <si>
    <t xml:space="preserve">Never leaves a VM in your subscription</t>
  </si>
  <si>
    <t xml:space="preserve">Quality evidence: measured on your eval set, not on a demo</t>
  </si>
  <si>
    <t xml:space="preserve">No measurement, or measured and fails the bar</t>
  </si>
  <si>
    <t xml:space="preserve">Measured on 20+ items, passes format, misses on content</t>
  </si>
  <si>
    <t xml:space="preserve">Measured, passes both, and the misses are understood</t>
  </si>
  <si>
    <t xml:space="preserve">Cost at 12 months: from the cost model, including people</t>
  </si>
  <si>
    <t xml:space="preserve">More than 5x the cheapest viable option</t>
  </si>
  <si>
    <t xml:space="preserve">Within 2x</t>
  </si>
  <si>
    <t xml:space="preserve">The cheapest viable option</t>
  </si>
  <si>
    <t xml:space="preserve">Latency and availability: against the use case's real need</t>
  </si>
  <si>
    <t xml:space="preserve">Depends on a path you do not control and the use case is interactive</t>
  </si>
  <si>
    <t xml:space="preserve">Acceptable; a vendor outage or a VM patch stops the service for an hour</t>
  </si>
  <si>
    <t xml:space="preserve">Meets the need with a fallback you tested</t>
  </si>
  <si>
    <t xml:space="preserve">Operational ownership: who runs it on 2 January</t>
  </si>
  <si>
    <t xml:space="preserve">Needs skills nobody in the team has and nobody is hiring</t>
  </si>
  <si>
    <t xml:space="preserve">The team can run it with a runbook and some learning</t>
  </si>
  <si>
    <t xml:space="preserve">Nothing to run, or the team already runs this kind of thing</t>
  </si>
  <si>
    <t xml:space="preserve">Integration fit: IAM, network, logging, the tools it must talk to</t>
  </si>
  <si>
    <t xml:space="preserve">Needs a new network path, a new identity, a new log pipeline</t>
  </si>
  <si>
    <t xml:space="preserve">Fits with one of those changed</t>
  </si>
  <si>
    <t xml:space="preserve">Drops into what exists</t>
  </si>
  <si>
    <t xml:space="preserve">Lock-in and exit: cost of moving to another model in a year</t>
  </si>
  <si>
    <t xml:space="preserve">Prompts, formats and evals would all need redoing</t>
  </si>
  <si>
    <t xml:space="preserve">A week of work</t>
  </si>
  <si>
    <t xml:space="preserve">Swap the endpoint, rerun the eval</t>
  </si>
  <si>
    <t xml:space="preserve">Time to first value: a pilot in front of a real user</t>
  </si>
  <si>
    <t xml:space="preserve">Months (procurement, GPU quota, training)</t>
  </si>
  <si>
    <t xml:space="preserve">Weeks</t>
  </si>
  <si>
    <t xml:space="preserve">Days</t>
  </si>
  <si>
    <t xml:space="preserve">Weighted total</t>
  </si>
  <si>
    <t xml:space="preserve">Removed by a gate? (from sheet 1)</t>
  </si>
  <si>
    <t xml:space="preserve">Eligible total (removed = excluded)</t>
  </si>
  <si>
    <t xml:space="preserve">Weights check</t>
  </si>
  <si>
    <t xml:space="preserve">Highest eligible option</t>
  </si>
  <si>
    <t xml:space="preserve">Scoring honestly</t>
  </si>
  <si>
    <t xml:space="preserve">Criterion 2 is where people cheat. Score it 1 until you have a number from run_eval.py or a comparable measurement. The week gives you one on Day 2 (S12) and Day 4 (S19).</t>
  </si>
  <si>
    <t xml:space="preserve">Criterion 5: fine-tuning adds retraining to the ops list. Every time the queue list or the schema changes, someone rebuilds the dataset and retrains. Score D lower than C unless that someone exists.</t>
  </si>
  <si>
    <t xml:space="preserve">Criterion 3 comes from cost_model.xlsx, with the ops labour line filled in. A cost row with no people in it is wrong.</t>
  </si>
  <si>
    <t xml:space="preserve">Step 3: defend it (the part the manager reads)</t>
  </si>
  <si>
    <t xml:space="preserve">Five sentences, in this order. Copy them into section 2 of your architecture spec.</t>
  </si>
  <si>
    <t xml:space="preserve">Highest eligible option from sheet 2:</t>
  </si>
  <si>
    <t xml:space="preserve">Sentence</t>
  </si>
  <si>
    <t xml:space="preserve">Your sentence</t>
  </si>
  <si>
    <t xml:space="preserve">The choice
"We chose B, buy through the tenant."</t>
  </si>
  <si>
    <t xml:space="preserve">The gates
Which gate removed which option, and who answered. "Nothing was removed" is an answer too.</t>
  </si>
  <si>
    <t xml:space="preserve">What decided it
The two or three criteria that made the difference, with their scores.</t>
  </si>
  <si>
    <t xml:space="preserve">What the runner-up lost on
Where the second option lost its points, in numbers.</t>
  </si>
  <si>
    <t xml:space="preserve">What would flip it
A condition that could actually happen this year, and which option wins if it does.</t>
  </si>
  <si>
    <t xml:space="preserve">If you cannot write sentence 5, you have not understood your own table.</t>
  </si>
  <si>
    <t xml:space="preserve">Worked example: service desk ticket triage (brief 1)</t>
  </si>
  <si>
    <t xml:space="preserve">Invented scenario. One reasonable answer, not the answer. Totals are live formulas so you can check the arithmetic.</t>
  </si>
  <si>
    <t xml:space="preserve">Scenario</t>
  </si>
  <si>
    <t xml:space="preserve">An IT service desk at a seven-site company takes about 300 tickets a working day. An agent reads each one and fills in seven fields before it is routed. Median time to first triage is 40 minutes; on Sunday mornings it is three hours. A model proposes the record; an agent confirms or corrects. Ticket text is classified internal and sometimes contains a pasted password.</t>
  </si>
  <si>
    <t xml:space="preserve">Answer</t>
  </si>
  <si>
    <t xml:space="preserve">Source</t>
  </si>
  <si>
    <t xml:space="preserve">G1 vendor processing at all</t>
  </si>
  <si>
    <t xml:space="preserve">Yes, inside our tenant, under the existing cloud DPA</t>
  </si>
  <si>
    <t xml:space="preserve">Data owner (invented), 2026-09-27</t>
  </si>
  <si>
    <t xml:space="preserve">G2 may leave the region</t>
  </si>
  <si>
    <t xml:space="preserve">No: must stay in a region or data zone we chose</t>
  </si>
  <si>
    <t xml:space="preserve">Same</t>
  </si>
  <si>
    <t xml:space="preserve">G3 reach the endpoint</t>
  </si>
  <si>
    <t xml:space="preserve">Yes; the desk tool runs in the same subscription</t>
  </si>
  <si>
    <t xml:space="preserve">Integration architect</t>
  </si>
  <si>
    <t xml:space="preserve">G4 small-model evidence</t>
  </si>
  <si>
    <t xml:space="preserve">Yes: tuned 1B on the held-out 20 is 20/20 schema-valid, routing 16/20, whole record 4/20</t>
  </si>
  <si>
    <t xml:space="preserve">Day 2 eval, pre-baked adapter</t>
  </si>
  <si>
    <t xml:space="preserve">G5 someone to run a VM</t>
  </si>
  <si>
    <t xml:space="preserve">One platform engineer, part-time, no GPU experience</t>
  </si>
  <si>
    <t xml:space="preserve">Team lead</t>
  </si>
  <si>
    <t xml:space="preserve">G2 removes A. B stays because a data-zone deployment exists for the model family; confirm it for the specific model before go-live.</t>
  </si>
  <si>
    <t xml:space="preserve">Why</t>
  </si>
  <si>
    <t xml:space="preserve">Data residency</t>
  </si>
  <si>
    <t xml:space="preserve">A is global routing; B is a data zone we chose; C and D never leave the VM</t>
  </si>
  <si>
    <t xml:space="preserve">Quality evidence</t>
  </si>
  <si>
    <t xml:space="preserve">Hosted: 20/20 format, 6/20 whole record. Untuned 1B copies the example tag. Tuned: routing 16/20, whole record 4/20</t>
  </si>
  <si>
    <t xml:space="preserve">Cost at 12 months</t>
  </si>
  <si>
    <t xml:space="preserve">Cost model: $28 to $65 a year on the API; $17,233 self-hosted, a third of it people</t>
  </si>
  <si>
    <t xml:space="preserve">Latency and availability</t>
  </si>
  <si>
    <t xml:space="preserve">Triage is asynchronous, so all pass; A adds an internet dependency</t>
  </si>
  <si>
    <t xml:space="preserve">Operational ownership</t>
  </si>
  <si>
    <t xml:space="preserve">D adds retraining whenever a queue is renamed</t>
  </si>
  <si>
    <t xml:space="preserve">Integration fit</t>
  </si>
  <si>
    <t xml:space="preserve">All speak /v1/chat/completions; B shares IAM and network with the desk tool</t>
  </si>
  <si>
    <t xml:space="preserve">Lock-in and exit</t>
  </si>
  <si>
    <t xml:space="preserve">The adapter is tied to one base model and serving version</t>
  </si>
  <si>
    <t xml:space="preserve">Time to first value</t>
  </si>
  <si>
    <t xml:space="preserve">B needs a tenant deployment approved; D needs a labelled set and a retrain cycle</t>
  </si>
  <si>
    <t xml:space="preserve">Removed by a gate?</t>
  </si>
  <si>
    <t xml:space="preserve">Yes, G2</t>
  </si>
  <si>
    <t xml:space="preserve">No</t>
  </si>
  <si>
    <t xml:space="preserve">The five sentences</t>
  </si>
  <si>
    <t xml:space="preserve">1. We chose B: buy through the tenant, the same model family deployed in our subscription in a data zone we pick.</t>
  </si>
  <si>
    <t xml:space="preserve">2. Gate G2 removed the direct vendor key: ticket text may not be routed globally. Nothing else was removed.</t>
  </si>
  <si>
    <t xml:space="preserve">3. Residency and ownership decided it: in our tenant the data stays in a region we chose and there is nothing for us to patch.</t>
  </si>
  <si>
    <t xml:space="preserve">4. Hosting lost mainly on quality evidence and ops: the tuned small model learns routing well (16/20) but is wrong on the whole record four times in five, and a GPU VM plus retraining is a job nobody has.</t>
  </si>
  <si>
    <t xml:space="preserve">5. What flips it: if the data owner rules that no vendor may process ticket text (G1 = No), A and B fall away and D beats C on quality, provided the platform engineer is named as owner.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</si>
</sst>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C1C6B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C1C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444444"/>
      <name val="Arial"/>
      <family val="0"/>
      <charset val="1"/>
    </font>
    <font>
      <b val="true"/>
      <sz val="10"/>
      <color rgb="FF1C1C6B"/>
      <name val="Arial"/>
      <family val="0"/>
      <charset val="1"/>
    </font>
    <font>
      <b val="true"/>
      <sz val="11"/>
      <color rgb="FF1C1C6B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C1C6B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C1C6B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4" t="s">
        <v>3</v>
      </c>
    </row>
    <row r="5" customFormat="false" ht="23.8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23.8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5" t="s">
        <v>13</v>
      </c>
    </row>
    <row r="10" customFormat="false" ht="15" hidden="false" customHeight="false" outlineLevel="0" collapsed="false">
      <c r="A10" s="3" t="s">
        <v>14</v>
      </c>
      <c r="B10" s="4" t="s">
        <v>15</v>
      </c>
    </row>
    <row r="12" customFormat="false" ht="15" hidden="false" customHeight="false" outlineLevel="0" collapsed="false">
      <c r="A12" s="6" t="s">
        <v>16</v>
      </c>
    </row>
    <row r="13" customFormat="false" ht="15" hidden="false" customHeight="false" outlineLevel="0" collapsed="false">
      <c r="A13" s="7" t="s">
        <v>17</v>
      </c>
      <c r="B13" s="7" t="s">
        <v>18</v>
      </c>
    </row>
    <row r="14" customFormat="false" ht="23.85" hidden="false" customHeight="false" outlineLevel="0" collapsed="false">
      <c r="A14" s="8" t="s">
        <v>19</v>
      </c>
      <c r="B14" s="9" t="s">
        <v>20</v>
      </c>
    </row>
    <row r="15" customFormat="false" ht="23.85" hidden="false" customHeight="false" outlineLevel="0" collapsed="false">
      <c r="A15" s="8" t="s">
        <v>21</v>
      </c>
      <c r="B15" s="9" t="s">
        <v>22</v>
      </c>
    </row>
    <row r="16" customFormat="false" ht="23.85" hidden="false" customHeight="false" outlineLevel="0" collapsed="false">
      <c r="A16" s="8" t="s">
        <v>23</v>
      </c>
      <c r="B16" s="9" t="s">
        <v>24</v>
      </c>
    </row>
    <row r="17" customFormat="false" ht="23.85" hidden="false" customHeight="false" outlineLevel="0" collapsed="false">
      <c r="A17" s="8" t="s">
        <v>25</v>
      </c>
      <c r="B17" s="9" t="s">
        <v>26</v>
      </c>
    </row>
    <row r="19" customFormat="false" ht="15" hidden="false" customHeight="false" outlineLevel="0" collapsed="false">
      <c r="A19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40"/>
  </cols>
  <sheetData>
    <row r="1" customFormat="false" ht="19.7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29</v>
      </c>
    </row>
    <row r="4" customFormat="false" ht="15" hidden="false" customHeight="false" outlineLevel="0" collapsed="false">
      <c r="A4" s="7" t="s">
        <v>30</v>
      </c>
      <c r="B4" s="7" t="s">
        <v>31</v>
      </c>
      <c r="C4" s="7" t="s">
        <v>32</v>
      </c>
      <c r="D4" s="7" t="s">
        <v>33</v>
      </c>
      <c r="E4" s="7" t="s">
        <v>34</v>
      </c>
      <c r="F4" s="7" t="s">
        <v>35</v>
      </c>
    </row>
    <row r="5" customFormat="false" ht="42" hidden="false" customHeight="true" outlineLevel="0" collapsed="false">
      <c r="A5" s="8" t="s">
        <v>36</v>
      </c>
      <c r="B5" s="9" t="s">
        <v>37</v>
      </c>
      <c r="C5" s="10"/>
      <c r="D5" s="10"/>
      <c r="E5" s="10"/>
      <c r="F5" s="9" t="s">
        <v>38</v>
      </c>
    </row>
    <row r="6" customFormat="false" ht="42" hidden="false" customHeight="true" outlineLevel="0" collapsed="false">
      <c r="A6" s="8" t="s">
        <v>39</v>
      </c>
      <c r="B6" s="9" t="s">
        <v>40</v>
      </c>
      <c r="C6" s="10"/>
      <c r="D6" s="10"/>
      <c r="E6" s="10"/>
      <c r="F6" s="9" t="s">
        <v>41</v>
      </c>
    </row>
    <row r="7" customFormat="false" ht="42" hidden="false" customHeight="true" outlineLevel="0" collapsed="false">
      <c r="A7" s="8" t="s">
        <v>42</v>
      </c>
      <c r="B7" s="9" t="s">
        <v>43</v>
      </c>
      <c r="C7" s="10"/>
      <c r="D7" s="10"/>
      <c r="E7" s="10"/>
      <c r="F7" s="9" t="s">
        <v>38</v>
      </c>
    </row>
    <row r="8" customFormat="false" ht="42" hidden="false" customHeight="true" outlineLevel="0" collapsed="false">
      <c r="A8" s="8" t="s">
        <v>44</v>
      </c>
      <c r="B8" s="9" t="s">
        <v>45</v>
      </c>
      <c r="C8" s="10"/>
      <c r="D8" s="10"/>
      <c r="E8" s="10"/>
      <c r="F8" s="9" t="s">
        <v>46</v>
      </c>
    </row>
    <row r="9" customFormat="false" ht="42" hidden="false" customHeight="true" outlineLevel="0" collapsed="false">
      <c r="A9" s="8" t="s">
        <v>47</v>
      </c>
      <c r="B9" s="9" t="s">
        <v>48</v>
      </c>
      <c r="C9" s="10"/>
      <c r="D9" s="10"/>
      <c r="E9" s="10"/>
      <c r="F9" s="9" t="s">
        <v>49</v>
      </c>
    </row>
    <row r="11" customFormat="false" ht="30" hidden="false" customHeight="true" outlineLevel="0" collapsed="false">
      <c r="B11" s="3" t="s">
        <v>50</v>
      </c>
      <c r="C11" s="10"/>
    </row>
    <row r="13" customFormat="false" ht="15" hidden="false" customHeight="false" outlineLevel="0" collapsed="false">
      <c r="B13" s="11" t="s">
        <v>51</v>
      </c>
    </row>
    <row r="14" customFormat="false" ht="15" hidden="false" customHeight="false" outlineLevel="0" collapsed="false">
      <c r="B14" s="12" t="s">
        <v>17</v>
      </c>
      <c r="C14" s="12" t="s">
        <v>52</v>
      </c>
    </row>
    <row r="15" customFormat="false" ht="15" hidden="false" customHeight="false" outlineLevel="0" collapsed="false">
      <c r="B15" s="9" t="s">
        <v>19</v>
      </c>
      <c r="C15" s="8" t="str">
        <f aca="false">IF(OR(C5="No",C6="No",C7="No"),"Yes","No")</f>
        <v>No</v>
      </c>
    </row>
    <row r="16" customFormat="false" ht="15" hidden="false" customHeight="false" outlineLevel="0" collapsed="false">
      <c r="B16" s="9" t="s">
        <v>21</v>
      </c>
      <c r="C16" s="8" t="str">
        <f aca="false">IF(OR(C5="No",C7="No",AND(C6="No",C11&lt;&gt;"Yes")),"Yes","No")</f>
        <v>No</v>
      </c>
    </row>
    <row r="17" customFormat="false" ht="15" hidden="false" customHeight="false" outlineLevel="0" collapsed="false">
      <c r="B17" s="9" t="s">
        <v>23</v>
      </c>
      <c r="C17" s="8" t="str">
        <f aca="false">IF(OR(C8="No",C9="No"),"Yes","No")</f>
        <v>No</v>
      </c>
    </row>
    <row r="18" customFormat="false" ht="15" hidden="false" customHeight="false" outlineLevel="0" collapsed="false">
      <c r="B18" s="9" t="s">
        <v>25</v>
      </c>
      <c r="C18" s="8" t="str">
        <f aca="false">IF(OR(C8="No",C9="No"),"Yes","No")</f>
        <v>No</v>
      </c>
    </row>
    <row r="20" customFormat="false" ht="30" hidden="false" customHeight="true" outlineLevel="0" collapsed="false">
      <c r="B20" s="13" t="s">
        <v>53</v>
      </c>
    </row>
  </sheetData>
  <dataValidations count="1">
    <dataValidation allowBlank="true" errorStyle="stop" operator="between" showDropDown="false" showErrorMessage="false" showInputMessage="false" sqref="C5:C9 C1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9"/>
    <col collapsed="false" customWidth="true" hidden="false" outlineLevel="0" max="6" min="4" style="0" width="10"/>
    <col collapsed="false" customWidth="true" hidden="false" outlineLevel="0" max="7" min="7" style="0" width="12"/>
    <col collapsed="false" customWidth="true" hidden="false" outlineLevel="0" max="8" min="8" style="0" width="36"/>
    <col collapsed="false" customWidth="true" hidden="false" outlineLevel="0" max="11" min="9" style="0" width="26"/>
  </cols>
  <sheetData>
    <row r="1" customFormat="false" ht="19.7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55</v>
      </c>
    </row>
    <row r="4" customFormat="false" ht="15" hidden="false" customHeight="false" outlineLevel="0" collapsed="false">
      <c r="A4" s="7" t="s">
        <v>56</v>
      </c>
      <c r="B4" s="7" t="s">
        <v>57</v>
      </c>
      <c r="C4" s="7" t="s">
        <v>58</v>
      </c>
      <c r="D4" s="7" t="s">
        <v>59</v>
      </c>
      <c r="E4" s="7" t="s">
        <v>60</v>
      </c>
      <c r="F4" s="7" t="s">
        <v>61</v>
      </c>
      <c r="G4" s="7" t="s">
        <v>62</v>
      </c>
      <c r="H4" s="7" t="s">
        <v>63</v>
      </c>
      <c r="I4" s="7" t="s">
        <v>64</v>
      </c>
      <c r="J4" s="7" t="s">
        <v>65</v>
      </c>
      <c r="K4" s="7" t="s">
        <v>66</v>
      </c>
    </row>
    <row r="5" customFormat="false" ht="48" hidden="false" customHeight="true" outlineLevel="0" collapsed="false">
      <c r="A5" s="9" t="n">
        <v>1</v>
      </c>
      <c r="B5" s="8" t="s">
        <v>67</v>
      </c>
      <c r="C5" s="14" t="n">
        <v>20</v>
      </c>
      <c r="D5" s="14"/>
      <c r="E5" s="14"/>
      <c r="F5" s="14"/>
      <c r="G5" s="14"/>
      <c r="H5" s="10"/>
      <c r="I5" s="15" t="s">
        <v>68</v>
      </c>
      <c r="J5" s="15" t="s">
        <v>69</v>
      </c>
      <c r="K5" s="15" t="s">
        <v>70</v>
      </c>
    </row>
    <row r="6" customFormat="false" ht="48" hidden="false" customHeight="true" outlineLevel="0" collapsed="false">
      <c r="A6" s="9" t="n">
        <v>2</v>
      </c>
      <c r="B6" s="8" t="s">
        <v>71</v>
      </c>
      <c r="C6" s="14" t="n">
        <v>20</v>
      </c>
      <c r="D6" s="14"/>
      <c r="E6" s="14"/>
      <c r="F6" s="14"/>
      <c r="G6" s="14"/>
      <c r="H6" s="10"/>
      <c r="I6" s="15" t="s">
        <v>72</v>
      </c>
      <c r="J6" s="15" t="s">
        <v>73</v>
      </c>
      <c r="K6" s="15" t="s">
        <v>74</v>
      </c>
    </row>
    <row r="7" customFormat="false" ht="48" hidden="false" customHeight="true" outlineLevel="0" collapsed="false">
      <c r="A7" s="9" t="n">
        <v>3</v>
      </c>
      <c r="B7" s="8" t="s">
        <v>75</v>
      </c>
      <c r="C7" s="14" t="n">
        <v>10</v>
      </c>
      <c r="D7" s="14"/>
      <c r="E7" s="14"/>
      <c r="F7" s="14"/>
      <c r="G7" s="14"/>
      <c r="H7" s="10"/>
      <c r="I7" s="15" t="s">
        <v>76</v>
      </c>
      <c r="J7" s="15" t="s">
        <v>77</v>
      </c>
      <c r="K7" s="15" t="s">
        <v>78</v>
      </c>
    </row>
    <row r="8" customFormat="false" ht="48" hidden="false" customHeight="true" outlineLevel="0" collapsed="false">
      <c r="A8" s="9" t="n">
        <v>4</v>
      </c>
      <c r="B8" s="8" t="s">
        <v>79</v>
      </c>
      <c r="C8" s="14" t="n">
        <v>10</v>
      </c>
      <c r="D8" s="14"/>
      <c r="E8" s="14"/>
      <c r="F8" s="14"/>
      <c r="G8" s="14"/>
      <c r="H8" s="10"/>
      <c r="I8" s="15" t="s">
        <v>80</v>
      </c>
      <c r="J8" s="15" t="s">
        <v>81</v>
      </c>
      <c r="K8" s="15" t="s">
        <v>82</v>
      </c>
    </row>
    <row r="9" customFormat="false" ht="48" hidden="false" customHeight="true" outlineLevel="0" collapsed="false">
      <c r="A9" s="9" t="n">
        <v>5</v>
      </c>
      <c r="B9" s="8" t="s">
        <v>83</v>
      </c>
      <c r="C9" s="14" t="n">
        <v>15</v>
      </c>
      <c r="D9" s="14"/>
      <c r="E9" s="14"/>
      <c r="F9" s="14"/>
      <c r="G9" s="14"/>
      <c r="H9" s="10"/>
      <c r="I9" s="15" t="s">
        <v>84</v>
      </c>
      <c r="J9" s="15" t="s">
        <v>85</v>
      </c>
      <c r="K9" s="15" t="s">
        <v>86</v>
      </c>
    </row>
    <row r="10" customFormat="false" ht="48" hidden="false" customHeight="true" outlineLevel="0" collapsed="false">
      <c r="A10" s="9" t="n">
        <v>6</v>
      </c>
      <c r="B10" s="8" t="s">
        <v>87</v>
      </c>
      <c r="C10" s="14" t="n">
        <v>10</v>
      </c>
      <c r="D10" s="14"/>
      <c r="E10" s="14"/>
      <c r="F10" s="14"/>
      <c r="G10" s="14"/>
      <c r="H10" s="10"/>
      <c r="I10" s="15" t="s">
        <v>88</v>
      </c>
      <c r="J10" s="15" t="s">
        <v>89</v>
      </c>
      <c r="K10" s="15" t="s">
        <v>90</v>
      </c>
    </row>
    <row r="11" customFormat="false" ht="48" hidden="false" customHeight="true" outlineLevel="0" collapsed="false">
      <c r="A11" s="9" t="n">
        <v>7</v>
      </c>
      <c r="B11" s="8" t="s">
        <v>91</v>
      </c>
      <c r="C11" s="14" t="n">
        <v>5</v>
      </c>
      <c r="D11" s="14"/>
      <c r="E11" s="14"/>
      <c r="F11" s="14"/>
      <c r="G11" s="14"/>
      <c r="H11" s="10"/>
      <c r="I11" s="15" t="s">
        <v>92</v>
      </c>
      <c r="J11" s="15" t="s">
        <v>93</v>
      </c>
      <c r="K11" s="15" t="s">
        <v>94</v>
      </c>
    </row>
    <row r="12" customFormat="false" ht="48" hidden="false" customHeight="true" outlineLevel="0" collapsed="false">
      <c r="A12" s="9" t="n">
        <v>8</v>
      </c>
      <c r="B12" s="8" t="s">
        <v>95</v>
      </c>
      <c r="C12" s="14" t="n">
        <v>10</v>
      </c>
      <c r="D12" s="14"/>
      <c r="E12" s="14"/>
      <c r="F12" s="14"/>
      <c r="G12" s="14"/>
      <c r="H12" s="10"/>
      <c r="I12" s="15" t="s">
        <v>96</v>
      </c>
      <c r="J12" s="15" t="s">
        <v>97</v>
      </c>
      <c r="K12" s="15" t="s">
        <v>98</v>
      </c>
    </row>
    <row r="13" customFormat="false" ht="15" hidden="false" customHeight="false" outlineLevel="0" collapsed="false">
      <c r="B13" s="8" t="s">
        <v>99</v>
      </c>
      <c r="C13" s="8" t="n">
        <f aca="false">SUM(C5:C12)</f>
        <v>100</v>
      </c>
      <c r="D13" s="16" t="str">
        <f aca="false">IF(COUNT(D5:D12)&lt;8,"",SUMPRODUCT($C$5:$C$12,D5:D12))</f>
        <v/>
      </c>
      <c r="E13" s="16" t="str">
        <f aca="false">IF(COUNT(E5:E12)&lt;8,"",SUMPRODUCT($C$5:$C$12,E5:E12))</f>
        <v/>
      </c>
      <c r="F13" s="16" t="str">
        <f aca="false">IF(COUNT(F5:F12)&lt;8,"",SUMPRODUCT($C$5:$C$12,F5:F12))</f>
        <v/>
      </c>
      <c r="G13" s="16" t="str">
        <f aca="false">IF(COUNT(G5:G12)&lt;8,"",SUMPRODUCT($C$5:$C$12,G5:G12))</f>
        <v/>
      </c>
    </row>
    <row r="14" customFormat="false" ht="15" hidden="false" customHeight="false" outlineLevel="0" collapsed="false">
      <c r="B14" s="8" t="s">
        <v>100</v>
      </c>
      <c r="D14" s="16" t="str">
        <f aca="false">'1 Gates'!C15</f>
        <v>No</v>
      </c>
      <c r="E14" s="16" t="str">
        <f aca="false">'1 Gates'!C16</f>
        <v>No</v>
      </c>
      <c r="F14" s="16" t="str">
        <f aca="false">'1 Gates'!C17</f>
        <v>No</v>
      </c>
      <c r="G14" s="16" t="str">
        <f aca="false">'1 Gates'!C18</f>
        <v>No</v>
      </c>
    </row>
    <row r="15" customFormat="false" ht="15" hidden="false" customHeight="false" outlineLevel="0" collapsed="false">
      <c r="B15" s="8" t="s">
        <v>101</v>
      </c>
      <c r="D15" s="17" t="str">
        <f aca="false">IF(OR(D13="",D14="Yes"),"",D13)</f>
        <v/>
      </c>
      <c r="E15" s="17" t="str">
        <f aca="false">IF(OR(E13="",E14="Yes"),"",E13)</f>
        <v/>
      </c>
      <c r="F15" s="17" t="str">
        <f aca="false">IF(OR(F13="",F14="Yes"),"",F13)</f>
        <v/>
      </c>
      <c r="G15" s="17" t="str">
        <f aca="false">IF(OR(G13="",G14="Yes"),"",G13)</f>
        <v/>
      </c>
    </row>
    <row r="17" customFormat="false" ht="15" hidden="false" customHeight="false" outlineLevel="0" collapsed="false">
      <c r="B17" s="3" t="s">
        <v>102</v>
      </c>
      <c r="C17" s="18" t="str">
        <f aca="false">IF(C13=100,"OK: weights add to 100","Weights add to "&amp;C13&amp;", not 100")</f>
        <v>OK: weights add to 100</v>
      </c>
    </row>
    <row r="18" customFormat="false" ht="15" hidden="false" customHeight="false" outlineLevel="0" collapsed="false">
      <c r="B18" s="3" t="s">
        <v>103</v>
      </c>
      <c r="C18" s="19" t="str">
        <f aca="false">IF(C13&lt;&gt;100,"Fix the weights first",IF(COUNT(D5:G12)&lt;32,"Score every cell first",IF(COUNT(D15:G15)=0,"Every option is removed by a gate",INDEX($D$4:$G$4,MATCH(MAX(D15:G15),D15:G15,0))&amp;" at "&amp;MAX(D15:G15))))</f>
        <v>Score every cell first</v>
      </c>
    </row>
    <row r="20" customFormat="false" ht="15" hidden="false" customHeight="false" outlineLevel="0" collapsed="false">
      <c r="B20" s="20" t="s">
        <v>104</v>
      </c>
    </row>
    <row r="21" customFormat="false" ht="27.75" hidden="false" customHeight="true" outlineLevel="0" collapsed="false">
      <c r="B21" s="21" t="s">
        <v>105</v>
      </c>
      <c r="C21" s="21"/>
      <c r="D21" s="21"/>
      <c r="E21" s="21"/>
      <c r="F21" s="21"/>
      <c r="G21" s="21"/>
      <c r="H21" s="21"/>
    </row>
    <row r="22" customFormat="false" ht="27.75" hidden="false" customHeight="true" outlineLevel="0" collapsed="false">
      <c r="B22" s="21" t="s">
        <v>106</v>
      </c>
      <c r="C22" s="21"/>
      <c r="D22" s="21"/>
      <c r="E22" s="21"/>
      <c r="F22" s="21"/>
      <c r="G22" s="21"/>
      <c r="H22" s="21"/>
    </row>
    <row r="23" customFormat="false" ht="27.75" hidden="false" customHeight="true" outlineLevel="0" collapsed="false">
      <c r="B23" s="21" t="s">
        <v>107</v>
      </c>
      <c r="C23" s="21"/>
      <c r="D23" s="21"/>
      <c r="E23" s="21"/>
      <c r="F23" s="21"/>
      <c r="G23" s="21"/>
      <c r="H23" s="21"/>
    </row>
  </sheetData>
  <mergeCells count="3">
    <mergeCell ref="B21:H21"/>
    <mergeCell ref="B22:H22"/>
    <mergeCell ref="B23:H23"/>
  </mergeCells>
  <conditionalFormatting sqref="C17">
    <cfRule type="expression" priority="2" aboveAverage="0" equalAverage="0" bottom="0" percent="0" rank="0" text="" dxfId="0">
      <formula>$C$13&lt;&gt;100</formula>
    </cfRule>
  </conditionalFormatting>
  <conditionalFormatting sqref="D14:G14">
    <cfRule type="expression" priority="3" aboveAverage="0" equalAverage="0" bottom="0" percent="0" rank="0" text="" dxfId="0">
      <formula>D14="Yes"</formula>
    </cfRule>
  </conditionalFormatting>
  <dataValidations count="2">
    <dataValidation allowBlank="true" error="Scores are whole numbers from 1 to 5." errorStyle="stop" errorTitle="Score 1 to 5" operator="between" showDropDown="false" showErrorMessage="true" showInputMessage="false" sqref="D5:G12" type="whole">
      <formula1>1</formula1>
      <formula2>5</formula2>
    </dataValidation>
    <dataValidation allowBlank="false" errorStyle="stop" operator="between" showDropDown="false" showErrorMessage="true" showInputMessage="false" sqref="C5:C12" type="whole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8"/>
    <col collapsed="false" customWidth="true" hidden="false" outlineLevel="0" max="3" min="3" style="0" width="90"/>
  </cols>
  <sheetData>
    <row r="1" customFormat="false" ht="19.7" hidden="false" customHeight="false" outlineLevel="0" collapsed="false">
      <c r="A1" s="1" t="s">
        <v>108</v>
      </c>
    </row>
    <row r="2" customFormat="false" ht="15" hidden="false" customHeight="false" outlineLevel="0" collapsed="false">
      <c r="A2" s="2" t="s">
        <v>109</v>
      </c>
    </row>
    <row r="4" customFormat="false" ht="15" hidden="false" customHeight="false" outlineLevel="0" collapsed="false">
      <c r="A4" s="18" t="s">
        <v>110</v>
      </c>
      <c r="C4" s="19" t="str">
        <f aca="false">'2 Scoring'!C18</f>
        <v>Score every cell first</v>
      </c>
    </row>
    <row r="6" customFormat="false" ht="15" hidden="false" customHeight="false" outlineLevel="0" collapsed="false">
      <c r="A6" s="7" t="s">
        <v>56</v>
      </c>
      <c r="B6" s="7" t="s">
        <v>111</v>
      </c>
      <c r="C6" s="7" t="s">
        <v>112</v>
      </c>
    </row>
    <row r="7" customFormat="false" ht="60" hidden="false" customHeight="true" outlineLevel="0" collapsed="false">
      <c r="A7" s="9" t="n">
        <v>1</v>
      </c>
      <c r="B7" s="22" t="s">
        <v>113</v>
      </c>
      <c r="C7" s="10"/>
    </row>
    <row r="8" customFormat="false" ht="60" hidden="false" customHeight="true" outlineLevel="0" collapsed="false">
      <c r="A8" s="9" t="n">
        <v>2</v>
      </c>
      <c r="B8" s="22" t="s">
        <v>114</v>
      </c>
      <c r="C8" s="10"/>
    </row>
    <row r="9" customFormat="false" ht="60" hidden="false" customHeight="true" outlineLevel="0" collapsed="false">
      <c r="A9" s="9" t="n">
        <v>3</v>
      </c>
      <c r="B9" s="22" t="s">
        <v>115</v>
      </c>
      <c r="C9" s="10"/>
    </row>
    <row r="10" customFormat="false" ht="60" hidden="false" customHeight="true" outlineLevel="0" collapsed="false">
      <c r="A10" s="9" t="n">
        <v>4</v>
      </c>
      <c r="B10" s="22" t="s">
        <v>116</v>
      </c>
      <c r="C10" s="10"/>
    </row>
    <row r="11" customFormat="false" ht="60" hidden="false" customHeight="true" outlineLevel="0" collapsed="false">
      <c r="A11" s="9" t="n">
        <v>5</v>
      </c>
      <c r="B11" s="22" t="s">
        <v>117</v>
      </c>
      <c r="C11" s="10"/>
    </row>
    <row r="13" customFormat="false" ht="15" hidden="false" customHeight="false" outlineLevel="0" collapsed="false">
      <c r="B13" s="2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6" min="4" style="0" width="10"/>
    <col collapsed="false" customWidth="true" hidden="false" outlineLevel="0" max="7" min="7" style="0" width="12"/>
    <col collapsed="false" customWidth="true" hidden="false" outlineLevel="0" max="8" min="8" style="0" width="60"/>
  </cols>
  <sheetData>
    <row r="1" customFormat="false" ht="19.7" hidden="false" customHeight="false" outlineLevel="0" collapsed="false">
      <c r="A1" s="1" t="s">
        <v>119</v>
      </c>
    </row>
    <row r="2" customFormat="false" ht="15" hidden="false" customHeight="false" outlineLevel="0" collapsed="false">
      <c r="A2" s="2" t="s">
        <v>120</v>
      </c>
    </row>
    <row r="4" customFormat="false" ht="57.75" hidden="false" customHeight="true" outlineLevel="0" collapsed="false">
      <c r="A4" s="3" t="s">
        <v>121</v>
      </c>
      <c r="B4" s="21" t="s">
        <v>122</v>
      </c>
      <c r="C4" s="21"/>
      <c r="D4" s="21"/>
      <c r="E4" s="21"/>
      <c r="F4" s="21"/>
      <c r="G4" s="21"/>
      <c r="H4" s="21"/>
    </row>
    <row r="6" customFormat="false" ht="15" hidden="false" customHeight="false" outlineLevel="0" collapsed="false">
      <c r="A6" s="7" t="s">
        <v>30</v>
      </c>
      <c r="B6" s="7" t="s">
        <v>123</v>
      </c>
      <c r="C6" s="7" t="s">
        <v>124</v>
      </c>
    </row>
    <row r="7" customFormat="false" ht="30" hidden="false" customHeight="true" outlineLevel="0" collapsed="false">
      <c r="A7" s="9" t="s">
        <v>125</v>
      </c>
      <c r="B7" s="9" t="s">
        <v>126</v>
      </c>
      <c r="C7" s="9" t="s">
        <v>127</v>
      </c>
    </row>
    <row r="8" customFormat="false" ht="30" hidden="false" customHeight="true" outlineLevel="0" collapsed="false">
      <c r="A8" s="9" t="s">
        <v>128</v>
      </c>
      <c r="B8" s="9" t="s">
        <v>129</v>
      </c>
      <c r="C8" s="9" t="s">
        <v>130</v>
      </c>
    </row>
    <row r="9" customFormat="false" ht="30" hidden="false" customHeight="true" outlineLevel="0" collapsed="false">
      <c r="A9" s="9" t="s">
        <v>131</v>
      </c>
      <c r="B9" s="9" t="s">
        <v>132</v>
      </c>
      <c r="C9" s="9" t="s">
        <v>133</v>
      </c>
    </row>
    <row r="10" customFormat="false" ht="30" hidden="false" customHeight="true" outlineLevel="0" collapsed="false">
      <c r="A10" s="9" t="s">
        <v>134</v>
      </c>
      <c r="B10" s="9" t="s">
        <v>135</v>
      </c>
      <c r="C10" s="9" t="s">
        <v>136</v>
      </c>
    </row>
    <row r="11" customFormat="false" ht="30" hidden="false" customHeight="true" outlineLevel="0" collapsed="false">
      <c r="A11" s="9" t="s">
        <v>137</v>
      </c>
      <c r="B11" s="9" t="s">
        <v>138</v>
      </c>
      <c r="C11" s="9" t="s">
        <v>139</v>
      </c>
    </row>
    <row r="12" customFormat="false" ht="15" hidden="false" customHeight="false" outlineLevel="0" collapsed="false">
      <c r="A12" s="2" t="s">
        <v>140</v>
      </c>
    </row>
    <row r="14" customFormat="false" ht="15" hidden="false" customHeight="false" outlineLevel="0" collapsed="false">
      <c r="A14" s="7" t="s">
        <v>56</v>
      </c>
      <c r="B14" s="7" t="s">
        <v>57</v>
      </c>
      <c r="C14" s="7" t="s">
        <v>58</v>
      </c>
      <c r="D14" s="7" t="s">
        <v>59</v>
      </c>
      <c r="E14" s="7" t="s">
        <v>60</v>
      </c>
      <c r="F14" s="7" t="s">
        <v>61</v>
      </c>
      <c r="G14" s="7" t="s">
        <v>62</v>
      </c>
      <c r="H14" s="7" t="s">
        <v>141</v>
      </c>
    </row>
    <row r="15" customFormat="false" ht="30" hidden="false" customHeight="true" outlineLevel="0" collapsed="false">
      <c r="A15" s="9" t="n">
        <v>1</v>
      </c>
      <c r="B15" s="9" t="s">
        <v>142</v>
      </c>
      <c r="C15" s="23" t="n">
        <v>20</v>
      </c>
      <c r="D15" s="23" t="n">
        <v>2</v>
      </c>
      <c r="E15" s="23" t="n">
        <v>4</v>
      </c>
      <c r="F15" s="23" t="n">
        <v>5</v>
      </c>
      <c r="G15" s="23" t="n">
        <v>5</v>
      </c>
      <c r="H15" s="9" t="s">
        <v>143</v>
      </c>
    </row>
    <row r="16" customFormat="false" ht="30" hidden="false" customHeight="true" outlineLevel="0" collapsed="false">
      <c r="A16" s="9" t="n">
        <v>2</v>
      </c>
      <c r="B16" s="9" t="s">
        <v>144</v>
      </c>
      <c r="C16" s="23" t="n">
        <v>20</v>
      </c>
      <c r="D16" s="23" t="n">
        <v>4</v>
      </c>
      <c r="E16" s="23" t="n">
        <v>4</v>
      </c>
      <c r="F16" s="23" t="n">
        <v>1</v>
      </c>
      <c r="G16" s="23" t="n">
        <v>3</v>
      </c>
      <c r="H16" s="9" t="s">
        <v>145</v>
      </c>
    </row>
    <row r="17" customFormat="false" ht="30" hidden="false" customHeight="true" outlineLevel="0" collapsed="false">
      <c r="A17" s="9" t="n">
        <v>3</v>
      </c>
      <c r="B17" s="9" t="s">
        <v>146</v>
      </c>
      <c r="C17" s="23" t="n">
        <v>10</v>
      </c>
      <c r="D17" s="23" t="n">
        <v>5</v>
      </c>
      <c r="E17" s="23" t="n">
        <v>5</v>
      </c>
      <c r="F17" s="23" t="n">
        <v>2</v>
      </c>
      <c r="G17" s="23" t="n">
        <v>2</v>
      </c>
      <c r="H17" s="9" t="s">
        <v>147</v>
      </c>
    </row>
    <row r="18" customFormat="false" ht="30" hidden="false" customHeight="true" outlineLevel="0" collapsed="false">
      <c r="A18" s="9" t="n">
        <v>4</v>
      </c>
      <c r="B18" s="9" t="s">
        <v>148</v>
      </c>
      <c r="C18" s="23" t="n">
        <v>10</v>
      </c>
      <c r="D18" s="23" t="n">
        <v>3</v>
      </c>
      <c r="E18" s="23" t="n">
        <v>4</v>
      </c>
      <c r="F18" s="23" t="n">
        <v>3</v>
      </c>
      <c r="G18" s="23" t="n">
        <v>3</v>
      </c>
      <c r="H18" s="9" t="s">
        <v>149</v>
      </c>
    </row>
    <row r="19" customFormat="false" ht="30" hidden="false" customHeight="true" outlineLevel="0" collapsed="false">
      <c r="A19" s="9" t="n">
        <v>5</v>
      </c>
      <c r="B19" s="9" t="s">
        <v>150</v>
      </c>
      <c r="C19" s="23" t="n">
        <v>15</v>
      </c>
      <c r="D19" s="23" t="n">
        <v>5</v>
      </c>
      <c r="E19" s="23" t="n">
        <v>5</v>
      </c>
      <c r="F19" s="23" t="n">
        <v>2</v>
      </c>
      <c r="G19" s="23" t="n">
        <v>1</v>
      </c>
      <c r="H19" s="9" t="s">
        <v>151</v>
      </c>
    </row>
    <row r="20" customFormat="false" ht="30" hidden="false" customHeight="true" outlineLevel="0" collapsed="false">
      <c r="A20" s="9" t="n">
        <v>6</v>
      </c>
      <c r="B20" s="9" t="s">
        <v>152</v>
      </c>
      <c r="C20" s="23" t="n">
        <v>10</v>
      </c>
      <c r="D20" s="23" t="n">
        <v>4</v>
      </c>
      <c r="E20" s="23" t="n">
        <v>5</v>
      </c>
      <c r="F20" s="23" t="n">
        <v>4</v>
      </c>
      <c r="G20" s="23" t="n">
        <v>4</v>
      </c>
      <c r="H20" s="9" t="s">
        <v>153</v>
      </c>
    </row>
    <row r="21" customFormat="false" ht="30" hidden="false" customHeight="true" outlineLevel="0" collapsed="false">
      <c r="A21" s="9" t="n">
        <v>7</v>
      </c>
      <c r="B21" s="9" t="s">
        <v>154</v>
      </c>
      <c r="C21" s="23" t="n">
        <v>5</v>
      </c>
      <c r="D21" s="23" t="n">
        <v>3</v>
      </c>
      <c r="E21" s="23" t="n">
        <v>3</v>
      </c>
      <c r="F21" s="23" t="n">
        <v>5</v>
      </c>
      <c r="G21" s="23" t="n">
        <v>4</v>
      </c>
      <c r="H21" s="9" t="s">
        <v>155</v>
      </c>
    </row>
    <row r="22" customFormat="false" ht="30" hidden="false" customHeight="true" outlineLevel="0" collapsed="false">
      <c r="A22" s="9" t="n">
        <v>8</v>
      </c>
      <c r="B22" s="9" t="s">
        <v>156</v>
      </c>
      <c r="C22" s="23" t="n">
        <v>10</v>
      </c>
      <c r="D22" s="23" t="n">
        <v>5</v>
      </c>
      <c r="E22" s="23" t="n">
        <v>4</v>
      </c>
      <c r="F22" s="23" t="n">
        <v>3</v>
      </c>
      <c r="G22" s="23" t="n">
        <v>2</v>
      </c>
      <c r="H22" s="9" t="s">
        <v>157</v>
      </c>
    </row>
    <row r="23" customFormat="false" ht="15" hidden="false" customHeight="false" outlineLevel="0" collapsed="false">
      <c r="B23" s="8" t="s">
        <v>99</v>
      </c>
      <c r="C23" s="8" t="n">
        <f aca="false">SUM(C15:C22)</f>
        <v>100</v>
      </c>
      <c r="D23" s="16" t="n">
        <f aca="false">SUMPRODUCT($C$15:$C$22,D15:D22)</f>
        <v>380</v>
      </c>
      <c r="E23" s="16" t="n">
        <f aca="false">SUMPRODUCT($C$15:$C$22,E15:E22)</f>
        <v>430</v>
      </c>
      <c r="F23" s="16" t="n">
        <f aca="false">SUMPRODUCT($C$15:$C$22,F15:F22)</f>
        <v>295</v>
      </c>
      <c r="G23" s="16" t="n">
        <f aca="false">SUMPRODUCT($C$15:$C$22,G15:G22)</f>
        <v>305</v>
      </c>
    </row>
    <row r="24" customFormat="false" ht="15" hidden="false" customHeight="false" outlineLevel="0" collapsed="false">
      <c r="B24" s="8" t="s">
        <v>158</v>
      </c>
      <c r="D24" s="16" t="s">
        <v>159</v>
      </c>
      <c r="E24" s="16" t="s">
        <v>160</v>
      </c>
      <c r="F24" s="16" t="s">
        <v>160</v>
      </c>
      <c r="G24" s="16" t="s">
        <v>160</v>
      </c>
    </row>
    <row r="26" customFormat="false" ht="15" hidden="false" customHeight="false" outlineLevel="0" collapsed="false">
      <c r="B26" s="20" t="s">
        <v>161</v>
      </c>
    </row>
    <row r="27" customFormat="false" ht="30" hidden="false" customHeight="true" outlineLevel="0" collapsed="false">
      <c r="B27" s="21" t="s">
        <v>162</v>
      </c>
      <c r="C27" s="21"/>
      <c r="D27" s="21"/>
      <c r="E27" s="21"/>
      <c r="F27" s="21"/>
      <c r="G27" s="21"/>
      <c r="H27" s="21"/>
    </row>
    <row r="28" customFormat="false" ht="30" hidden="false" customHeight="true" outlineLevel="0" collapsed="false">
      <c r="B28" s="21" t="s">
        <v>163</v>
      </c>
      <c r="C28" s="21"/>
      <c r="D28" s="21"/>
      <c r="E28" s="21"/>
      <c r="F28" s="21"/>
      <c r="G28" s="21"/>
      <c r="H28" s="21"/>
    </row>
    <row r="29" customFormat="false" ht="30" hidden="false" customHeight="true" outlineLevel="0" collapsed="false">
      <c r="B29" s="21" t="s">
        <v>164</v>
      </c>
      <c r="C29" s="21"/>
      <c r="D29" s="21"/>
      <c r="E29" s="21"/>
      <c r="F29" s="21"/>
      <c r="G29" s="21"/>
      <c r="H29" s="21"/>
    </row>
    <row r="30" customFormat="false" ht="30" hidden="false" customHeight="true" outlineLevel="0" collapsed="false">
      <c r="B30" s="21" t="s">
        <v>165</v>
      </c>
      <c r="C30" s="21"/>
      <c r="D30" s="21"/>
      <c r="E30" s="21"/>
      <c r="F30" s="21"/>
      <c r="G30" s="21"/>
      <c r="H30" s="21"/>
    </row>
    <row r="31" customFormat="false" ht="30" hidden="false" customHeight="true" outlineLevel="0" collapsed="false">
      <c r="B31" s="21" t="s">
        <v>166</v>
      </c>
      <c r="C31" s="21"/>
      <c r="D31" s="21"/>
      <c r="E31" s="21"/>
      <c r="F31" s="21"/>
      <c r="G31" s="21"/>
      <c r="H31" s="21"/>
    </row>
  </sheetData>
  <mergeCells count="6">
    <mergeCell ref="B4:H4"/>
    <mergeCell ref="B27:H27"/>
    <mergeCell ref="B28:H28"/>
    <mergeCell ref="B29:H29"/>
    <mergeCell ref="B30:H30"/>
    <mergeCell ref="B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2026-09-26T22:27:24Z</dcterms:created>
  <dc:creator>openpyxl</dc:creator>
  <dc:description/>
  <dc:language>en-US</dc:language>
  <cp:lastModifiedBy/>
  <dcterms:modified xsi:type="dcterms:W3CDTF">2026-09-26T22:27:24Z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