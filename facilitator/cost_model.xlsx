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API options" sheetId="2" r:id="rId2"/>
    <sheet name="Self-hosted" sheetId="3" r:id="rId3"/>
    <sheet name="Summary" sheetId="4" r:id="rId4"/>
    <sheet name="Sources" sheetId="5" r:id="rId5"/>
  </sheets>
  <calcPr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A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4" customWidth="1"/>
    <col min="2" max="2" width="16" customWidth="1"/>
    <col min="3" max="3" width="70" customWidth="1"/>
  </cols>
  <sheetData>
    <row r="1">
      <c r="A1" s="3" t="inlineStr">
        <is>
          <t xml:space="preserve">COST MODEL - Day 1 S4. Yellow cells are inputs; everything else is a formula.</t>
        </is>
      </c>
    </row>
    <row r="2">
      <c r="A2" t="inlineStr">
        <is>
          <t xml:space="preserve">Scenario: A - service desk ticket to structured record (the Day 2 task)</t>
        </is>
      </c>
    </row>
    <row r="3">
      <c r="A3" t="inlineStr">
        <is>
          <t xml:space="preserve">Prices and their sources: sheet 'Sources'. Formulas explained: facilitator/cost_model.md</t>
        </is>
      </c>
    </row>
    <row r="5">
      <c r="A5" t="inlineStr">
        <is>
          <t xml:space="preserve">Requests per working day</t>
        </is>
      </c>
      <c r="B5" s="1">
        <v>300</v>
      </c>
      <c r="C5" t="inlineStr">
        <is>
          <t xml:space="preserve">One request = one model call. A chat turn or an agent step is a request each.</t>
        </is>
      </c>
    </row>
    <row r="6">
      <c r="A6" t="inlineStr">
        <is>
          <t xml:space="preserve">Working days per month</t>
        </is>
      </c>
      <c r="B6" s="1">
        <v>22</v>
      </c>
      <c r="C6" t="inlineStr">
        <is>
          <t xml:space="preserve"/>
        </is>
      </c>
    </row>
    <row r="7">
      <c r="A7" t="inlineStr">
        <is>
          <t xml:space="preserve">Working hours per day</t>
        </is>
      </c>
      <c r="B7" s="1">
        <v>8</v>
      </c>
      <c r="C7" t="inlineStr">
        <is>
          <t xml:space="preserve">Hours the requests are spread over.</t>
        </is>
      </c>
    </row>
    <row r="8">
      <c r="A8" t="inlineStr">
        <is>
          <t xml:space="preserve">Peak factor (busiest hour / average hour)</t>
        </is>
      </c>
      <c r="B8" s="1">
        <v>3.0</v>
      </c>
      <c r="C8" t="inlineStr">
        <is>
          <t xml:space="preserve">3 is normal for a service desk: Sunday 08:00 after a long weekend.</t>
        </is>
      </c>
    </row>
    <row r="9">
      <c r="A9" t="inlineStr">
        <is>
          <t xml:space="preserve">Input tokens per request</t>
        </is>
      </c>
      <c r="B9" s="1">
        <v>330</v>
      </c>
      <c r="C9" t="inlineStr">
        <is>
          <t xml:space="preserve">Prompt + context + the user's text. Scenario A: MEASURED, 250 system + ~80 ticket (Sources S10).</t>
        </is>
      </c>
    </row>
    <row r="10">
      <c r="A10" t="inlineStr">
        <is>
          <t xml:space="preserve">Output tokens per request</t>
        </is>
      </c>
      <c r="B10" s="1">
        <v>60</v>
      </c>
      <c r="C10" t="inlineStr">
        <is>
          <t xml:space="preserve">Scenario A: one JSON record, measured mean 57.</t>
        </is>
      </c>
    </row>
    <row r="11">
      <c r="A11" t="inlineStr">
        <is>
          <t xml:space="preserve">Share of input tokens served from cache</t>
        </is>
      </c>
      <c r="B11" s="1">
        <v>0.75</v>
      </c>
      <c r="C11" t="inlineStr">
        <is>
          <t xml:space="preserve">The part of the prompt that is identical every call (system prompt, tool list). 0 if unsure.</t>
        </is>
      </c>
    </row>
    <row r="12">
      <c r="A12" t="inlineStr">
        <is>
          <t xml:space="preserve">Months to total over</t>
        </is>
      </c>
      <c r="B12" s="1">
        <v>12</v>
      </c>
      <c r="C12" t="inlineStr">
        <is>
          <t xml:space="preserve"/>
        </is>
      </c>
    </row>
    <row r="14">
      <c r="A14" s="3" t="inlineStr">
        <is>
          <t xml:space="preserve">Derived</t>
        </is>
      </c>
    </row>
    <row r="15">
      <c r="A15" t="inlineStr">
        <is>
          <t xml:space="preserve">Requests per month</t>
        </is>
      </c>
      <c r="B15">
        <f>B5*B6</f>
      </c>
      <c r="C15" t="inlineStr">
        <is>
          <t xml:space="preserve">Formula: requests/day x working days</t>
        </is>
      </c>
    </row>
    <row r="16">
      <c r="A16" t="inlineStr">
        <is>
          <t xml:space="preserve">Input tokens per month</t>
        </is>
      </c>
      <c r="B16">
        <f>B15*B9</f>
      </c>
    </row>
    <row r="17">
      <c r="A17" t="inlineStr">
        <is>
          <t xml:space="preserve">Output tokens per month</t>
        </is>
      </c>
      <c r="B17">
        <f>B15*B10</f>
      </c>
    </row>
    <row r="18">
      <c r="A18" t="inlineStr">
        <is>
          <t xml:space="preserve">Peak requests per hour</t>
        </is>
      </c>
      <c r="B18">
        <f>B5/B7*B8</f>
      </c>
      <c r="C18" t="inlineStr">
        <is>
          <t xml:space="preserve">Formula: requests/day / working hours x peak factor. This sizes the VM, the monthly total sizes the bill.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46" customWidth="1"/>
    <col min="3" max="3" width="12" customWidth="1"/>
    <col min="4" max="4" width="14" customWidth="1"/>
    <col min="5" max="5" width="12" customWidth="1"/>
    <col min="6" max="6" width="10" customWidth="1"/>
    <col min="7" max="7" width="8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3" t="inlineStr">
        <is>
          <t xml:space="preserve">VENDOR API COST. Prices are per 1M tokens (yellow = editable, see Sources). Costs are formulas.</t>
        </is>
      </c>
    </row>
    <row r="2">
      <c r="H2" s="5" t="inlineStr">
        <is>
          <t xml:space="preserve">Formula: (uncached in x price + cached in x cached price + out x price) / 1e6</t>
        </is>
      </c>
    </row>
    <row r="3">
      <c r="A3" s="3" t="inlineStr">
        <is>
          <t xml:space="preserve">Provider</t>
        </is>
      </c>
      <c r="B3" s="3" t="inlineStr">
        <is>
          <t xml:space="preserve">Model</t>
        </is>
      </c>
      <c r="C3" s="3" t="inlineStr">
        <is>
          <t xml:space="preserve">Input $/MTok</t>
        </is>
      </c>
      <c r="D3" s="3" t="inlineStr">
        <is>
          <t xml:space="preserve">Cached input $/MTok</t>
        </is>
      </c>
      <c r="E3" s="3" t="inlineStr">
        <is>
          <t xml:space="preserve">Output $/MTok</t>
        </is>
      </c>
      <c r="F3" s="3" t="inlineStr">
        <is>
          <t xml:space="preserve">Batch discount</t>
        </is>
      </c>
      <c r="G3" s="3" t="inlineStr">
        <is>
          <t xml:space="preserve">Source</t>
        </is>
      </c>
      <c r="H3" s="3" t="inlineStr">
        <is>
          <t xml:space="preserve">$ / month</t>
        </is>
      </c>
      <c r="I3" s="3" t="inlineStr">
        <is>
          <t xml:space="preserve">$ / month, batch</t>
        </is>
      </c>
      <c r="J3" s="3" t="inlineStr">
        <is>
          <t xml:space="preserve">$ / 1000 requests</t>
        </is>
      </c>
      <c r="K3" s="3" t="inlineStr">
        <is>
          <t xml:space="preserve">$ total (months)</t>
        </is>
      </c>
    </row>
    <row r="4">
      <c r="A4" t="inlineStr">
        <is>
          <t xml:space="preserve">OpenAI</t>
        </is>
      </c>
      <c r="B4" t="inlineStr">
        <is>
          <t xml:space="preserve">gpt-5.4-mini</t>
        </is>
      </c>
      <c r="C4" s="1">
        <v>0.75</v>
      </c>
      <c r="D4" s="1">
        <v>0.075</v>
      </c>
      <c r="E4" s="1">
        <v>4.5</v>
      </c>
      <c r="F4" s="1">
        <v>0.5</v>
      </c>
      <c r="G4" t="inlineStr">
        <is>
          <t xml:space="preserve">S1</t>
        </is>
      </c>
      <c r="H4" s="2">
        <f>(Inputs!$B$16*(1-Inputs!$B$11)*C4+Inputs!$B$16*Inputs!$B$11*D4+Inputs!$B$17*E4)/1000000</f>
      </c>
      <c r="I4" s="2">
        <f>IF(F4&gt;0,H4*(1-F4),"-")</f>
      </c>
      <c r="J4" s="2">
        <f>H4/Inputs!$B$15*1000</f>
      </c>
      <c r="K4" s="2">
        <f>H4*Inputs!$B$12</f>
      </c>
    </row>
    <row r="5">
      <c r="A5" t="inlineStr">
        <is>
          <t xml:space="preserve">OpenAI</t>
        </is>
      </c>
      <c r="B5" t="inlineStr">
        <is>
          <t xml:space="preserve">gpt-5.4</t>
        </is>
      </c>
      <c r="C5" s="1">
        <v>2.5</v>
      </c>
      <c r="D5" s="1">
        <v>0.25</v>
      </c>
      <c r="E5" s="1">
        <v>15.0</v>
      </c>
      <c r="F5" s="1">
        <v>0.5</v>
      </c>
      <c r="G5" t="inlineStr">
        <is>
          <t xml:space="preserve">S1</t>
        </is>
      </c>
      <c r="H5" s="2">
        <f>(Inputs!$B$16*(1-Inputs!$B$11)*C5+Inputs!$B$16*Inputs!$B$11*D5+Inputs!$B$17*E5)/1000000</f>
      </c>
      <c r="I5" s="2">
        <f>IF(F5&gt;0,H5*(1-F5),"-")</f>
      </c>
      <c r="J5" s="2">
        <f>H5/Inputs!$B$15*1000</f>
      </c>
      <c r="K5" s="2">
        <f>H5*Inputs!$B$12</f>
      </c>
    </row>
    <row r="6">
      <c r="A6" t="inlineStr">
        <is>
          <t xml:space="preserve">OpenAI</t>
        </is>
      </c>
      <c r="B6" t="inlineStr">
        <is>
          <t xml:space="preserve">gpt-5.6-luna</t>
        </is>
      </c>
      <c r="C6" s="1">
        <v>0.2</v>
      </c>
      <c r="D6" s="1">
        <v>0.02</v>
      </c>
      <c r="E6" s="1">
        <v>1.2</v>
      </c>
      <c r="F6" s="1">
        <v>0.5</v>
      </c>
      <c r="G6" t="inlineStr">
        <is>
          <t xml:space="preserve">S1</t>
        </is>
      </c>
      <c r="H6" s="2">
        <f>(Inputs!$B$16*(1-Inputs!$B$11)*C6+Inputs!$B$16*Inputs!$B$11*D6+Inputs!$B$17*E6)/1000000</f>
      </c>
      <c r="I6" s="2">
        <f>IF(F6&gt;0,H6*(1-F6),"-")</f>
      </c>
      <c r="J6" s="2">
        <f>H6/Inputs!$B$15*1000</f>
      </c>
      <c r="K6" s="2">
        <f>H6*Inputs!$B$12</f>
      </c>
    </row>
    <row r="7">
      <c r="A7" t="inlineStr">
        <is>
          <t xml:space="preserve">OpenAI</t>
        </is>
      </c>
      <c r="B7" t="inlineStr">
        <is>
          <t xml:space="preserve">gpt-5.6-terra</t>
        </is>
      </c>
      <c r="C7" s="1">
        <v>2.0</v>
      </c>
      <c r="D7" s="1">
        <v>0.2</v>
      </c>
      <c r="E7" s="1">
        <v>12.0</v>
      </c>
      <c r="F7" s="1">
        <v>0.5</v>
      </c>
      <c r="G7" t="inlineStr">
        <is>
          <t xml:space="preserve">S1</t>
        </is>
      </c>
      <c r="H7" s="2">
        <f>(Inputs!$B$16*(1-Inputs!$B$11)*C7+Inputs!$B$16*Inputs!$B$11*D7+Inputs!$B$17*E7)/1000000</f>
      </c>
      <c r="I7" s="2">
        <f>IF(F7&gt;0,H7*(1-F7),"-")</f>
      </c>
      <c r="J7" s="2">
        <f>H7/Inputs!$B$15*1000</f>
      </c>
      <c r="K7" s="2">
        <f>H7*Inputs!$B$12</f>
      </c>
    </row>
    <row r="8">
      <c r="A8" t="inlineStr">
        <is>
          <t xml:space="preserve">Anthropic</t>
        </is>
      </c>
      <c r="B8" t="inlineStr">
        <is>
          <t xml:space="preserve">Claude Haiku 4.5</t>
        </is>
      </c>
      <c r="C8" s="1">
        <v>1.0</v>
      </c>
      <c r="D8" s="1">
        <v>0.1</v>
      </c>
      <c r="E8" s="1">
        <v>5.0</v>
      </c>
      <c r="F8" s="1">
        <v>0.5</v>
      </c>
      <c r="G8" t="inlineStr">
        <is>
          <t xml:space="preserve">S2</t>
        </is>
      </c>
      <c r="H8" s="2">
        <f>(Inputs!$B$16*(1-Inputs!$B$11)*C8+Inputs!$B$16*Inputs!$B$11*D8+Inputs!$B$17*E8)/1000000</f>
      </c>
      <c r="I8" s="2">
        <f>IF(F8&gt;0,H8*(1-F8),"-")</f>
      </c>
      <c r="J8" s="2">
        <f>H8/Inputs!$B$15*1000</f>
      </c>
      <c r="K8" s="2">
        <f>H8*Inputs!$B$12</f>
      </c>
    </row>
    <row r="9">
      <c r="A9" t="inlineStr">
        <is>
          <t xml:space="preserve">Anthropic</t>
        </is>
      </c>
      <c r="B9" t="inlineStr">
        <is>
          <t xml:space="preserve">Claude Sonnet 5</t>
        </is>
      </c>
      <c r="C9" s="1">
        <v>2.0</v>
      </c>
      <c r="D9" s="1">
        <v>0.2</v>
      </c>
      <c r="E9" s="1">
        <v>10.0</v>
      </c>
      <c r="F9" s="1">
        <v>0.5</v>
      </c>
      <c r="G9" t="inlineStr">
        <is>
          <t xml:space="preserve">S2</t>
        </is>
      </c>
      <c r="H9" s="2">
        <f>(Inputs!$B$16*(1-Inputs!$B$11)*C9+Inputs!$B$16*Inputs!$B$11*D9+Inputs!$B$17*E9)/1000000</f>
      </c>
      <c r="I9" s="2">
        <f>IF(F9&gt;0,H9*(1-F9),"-")</f>
      </c>
      <c r="J9" s="2">
        <f>H9/Inputs!$B$15*1000</f>
      </c>
      <c r="K9" s="2">
        <f>H9*Inputs!$B$12</f>
      </c>
    </row>
    <row r="10">
      <c r="A10" t="inlineStr">
        <is>
          <t xml:space="preserve">Anthropic</t>
        </is>
      </c>
      <c r="B10" t="inlineStr">
        <is>
          <t xml:space="preserve">Claude Opus 5</t>
        </is>
      </c>
      <c r="C10" s="1">
        <v>5.0</v>
      </c>
      <c r="D10" s="1">
        <v>0.5</v>
      </c>
      <c r="E10" s="1">
        <v>25.0</v>
      </c>
      <c r="F10" s="1">
        <v>0.5</v>
      </c>
      <c r="G10" t="inlineStr">
        <is>
          <t xml:space="preserve">S2</t>
        </is>
      </c>
      <c r="H10" s="2">
        <f>(Inputs!$B$16*(1-Inputs!$B$11)*C10+Inputs!$B$16*Inputs!$B$11*D10+Inputs!$B$17*E10)/1000000</f>
      </c>
      <c r="I10" s="2">
        <f>IF(F10&gt;0,H10*(1-F10),"-")</f>
      </c>
      <c r="J10" s="2">
        <f>H10/Inputs!$B$15*1000</f>
      </c>
      <c r="K10" s="2">
        <f>H10*Inputs!$B$12</f>
      </c>
    </row>
    <row r="11">
      <c r="A11" t="inlineStr">
        <is>
          <t xml:space="preserve">Google</t>
        </is>
      </c>
      <c r="B11" t="inlineStr">
        <is>
          <t xml:space="preserve">Gemini 3.8 Flash (promo to 2026-12-31)</t>
        </is>
      </c>
      <c r="C11" s="1">
        <v>0.75</v>
      </c>
      <c r="D11" s="1">
        <v>0.75</v>
      </c>
      <c r="E11" s="1">
        <v>3.75</v>
      </c>
      <c r="F11" s="1">
        <v>0</v>
      </c>
      <c r="G11" t="inlineStr">
        <is>
          <t xml:space="preserve">S3</t>
        </is>
      </c>
      <c r="H11" s="2">
        <f>(Inputs!$B$16*(1-Inputs!$B$11)*C11+Inputs!$B$16*Inputs!$B$11*D11+Inputs!$B$17*E11)/1000000</f>
      </c>
      <c r="I11" s="2">
        <f>IF(F11&gt;0,H11*(1-F11),"-")</f>
      </c>
      <c r="J11" s="2">
        <f>H11/Inputs!$B$15*1000</f>
      </c>
      <c r="K11" s="2">
        <f>H11*Inputs!$B$12</f>
      </c>
    </row>
    <row r="12">
      <c r="A12" t="inlineStr">
        <is>
          <t xml:space="preserve">Google</t>
        </is>
      </c>
      <c r="B12" t="inlineStr">
        <is>
          <t xml:space="preserve">Gemini 3.1 Pro (&lt;=200k context)</t>
        </is>
      </c>
      <c r="C12" s="1">
        <v>2.0</v>
      </c>
      <c r="D12" s="1">
        <v>2.0</v>
      </c>
      <c r="E12" s="1">
        <v>12.0</v>
      </c>
      <c r="F12" s="1">
        <v>0</v>
      </c>
      <c r="G12" t="inlineStr">
        <is>
          <t xml:space="preserve">S3</t>
        </is>
      </c>
      <c r="H12" s="2">
        <f>(Inputs!$B$16*(1-Inputs!$B$11)*C12+Inputs!$B$16*Inputs!$B$11*D12+Inputs!$B$17*E12)/1000000</f>
      </c>
      <c r="I12" s="2">
        <f>IF(F12&gt;0,H12*(1-F12),"-")</f>
      </c>
      <c r="J12" s="2">
        <f>H12/Inputs!$B$15*1000</f>
      </c>
      <c r="K12" s="2">
        <f>H12*Inputs!$B$12</f>
      </c>
    </row>
    <row r="13">
      <c r="A13" t="inlineStr">
        <is>
          <t xml:space="preserve">Azure OpenAI</t>
        </is>
      </c>
      <c r="B13" t="inlineStr">
        <is>
          <t xml:space="preserve">gpt-5.4-mini, Global Standard</t>
        </is>
      </c>
      <c r="C13" s="1">
        <v>0.75</v>
      </c>
      <c r="D13" s="1">
        <v>0.075</v>
      </c>
      <c r="E13" s="1">
        <v>4.5</v>
      </c>
      <c r="F13" s="1">
        <v>0.5</v>
      </c>
      <c r="G13" t="inlineStr">
        <is>
          <t xml:space="preserve">S4</t>
        </is>
      </c>
      <c r="H13" s="2">
        <f>(Inputs!$B$16*(1-Inputs!$B$11)*C13+Inputs!$B$16*Inputs!$B$11*D13+Inputs!$B$17*E13)/1000000</f>
      </c>
      <c r="I13" s="2">
        <f>IF(F13&gt;0,H13*(1-F13),"-")</f>
      </c>
      <c r="J13" s="2">
        <f>H13/Inputs!$B$15*1000</f>
      </c>
      <c r="K13" s="2">
        <f>H13*Inputs!$B$12</f>
      </c>
    </row>
    <row r="14">
      <c r="A14" t="inlineStr">
        <is>
          <t xml:space="preserve">Azure OpenAI</t>
        </is>
      </c>
      <c r="B14" t="inlineStr">
        <is>
          <t xml:space="preserve">gpt-5.4-mini, Data Zone (list x1.10 - VERIFY)</t>
        </is>
      </c>
      <c r="C14" s="1">
        <v>0.825</v>
      </c>
      <c r="D14" s="1">
        <v>0.0825</v>
      </c>
      <c r="E14" s="1">
        <v>4.95</v>
      </c>
      <c r="F14" s="1">
        <v>0</v>
      </c>
      <c r="G14" t="inlineStr">
        <is>
          <t xml:space="preserve">S4</t>
        </is>
      </c>
      <c r="H14" s="2">
        <f>(Inputs!$B$16*(1-Inputs!$B$11)*C14+Inputs!$B$16*Inputs!$B$11*D14+Inputs!$B$17*E14)/1000000</f>
      </c>
      <c r="I14" s="2">
        <f>IF(F14&gt;0,H14*(1-F14),"-")</f>
      </c>
      <c r="J14" s="2">
        <f>H14/Inputs!$B$15*1000</f>
      </c>
      <c r="K14" s="2">
        <f>H14*Inputs!$B$12</f>
      </c>
    </row>
    <row r="16">
      <c r="A16" t="inlineStr">
        <is>
          <t xml:space="preserve">Row numbers used by Summary!B12 (compare row): 1 = first model row, in table order.</t>
        </is>
      </c>
    </row>
    <row r="17">
      <c r="A17" t="inlineStr">
        <is>
          <t xml:space="preserve">A cached-input price equal to the input price means the vendor publishes no cache discount (Gemini).</t>
        </is>
      </c>
    </row>
    <row r="18">
      <c r="A18" t="inlineStr">
        <is>
          <t xml:space="preserve">Prices EXCLUDE: fine-tuning a vendor model, image input, tool-call overhead tokens, egress, support plans.</t>
        </is>
      </c>
    </row>
  </sheetData>
</worksheet>
</file>

<file path=xl/worksheets/sheet3.xml><?xml version="1.0" encoding="utf-8"?>
<worksheet xmlns="http://schemas.openxmlformats.org/spreadsheetml/2006/main">
  <cols>
    <col min="1" max="1" width="46" customWidth="1"/>
    <col min="2" max="2" width="18" customWidth="1"/>
    <col min="3" max="3" width="72" customWidth="1"/>
  </cols>
  <sheetData>
    <row r="1">
      <c r="A1" s="3" t="inlineStr">
        <is>
          <t xml:space="preserve">SELF-HOSTED COST. An open-weights model on a VM you control (Ollama / vLLM). Yellow = inputs.</t>
        </is>
      </c>
    </row>
    <row r="3">
      <c r="A3" t="inlineStr">
        <is>
          <t xml:space="preserve">VM SKU (text, for the record)</t>
        </is>
      </c>
      <c r="B3" s="1" t="inlineStr">
        <is>
          <t xml:space="preserve">Azure NV12ads A10 v5, Linux, UAE North (1x A10 24 GB)</t>
        </is>
      </c>
      <c r="C3" t="inlineStr">
        <is>
          <t xml:space="preserve">Sources S5-S8 list the SKUs checked. Gulf regions have A10s; T4 and A100 mean leaving the region.</t>
        </is>
      </c>
    </row>
    <row r="4">
      <c r="A4" t="inlineStr">
        <is>
          <t xml:space="preserve">VM price, $ per hour, pay-as-you-go</t>
        </is>
      </c>
      <c r="B4" s="1">
        <v>1.3</v>
      </c>
      <c r="C4" t="inlineStr">
        <is>
          <t xml:space="preserve">Linux. Reserved 1-year is roughly 30-40% less; check the calculator.</t>
        </is>
      </c>
    </row>
    <row r="5">
      <c r="A5" t="inlineStr">
        <is>
          <t xml:space="preserve">Hours per month the VM runs</t>
        </is>
      </c>
      <c r="B5" s="1">
        <v>730</v>
      </c>
      <c r="C5" t="inlineStr">
        <is>
          <t xml:space="preserve">730 = always on. A VM that stops at night still pays for its disk.</t>
        </is>
      </c>
    </row>
    <row r="6">
      <c r="A6" t="inlineStr">
        <is>
          <t xml:space="preserve">Minimum VMs for availability</t>
        </is>
      </c>
      <c r="B6" s="1">
        <v>1</v>
      </c>
      <c r="C6" t="inlineStr">
        <is>
          <t xml:space="preserve">1 = one VM, and the service is down when it patches. 2 = a pair.</t>
        </is>
      </c>
    </row>
    <row r="7">
      <c r="A7" t="inlineStr">
        <is>
          <t xml:space="preserve">Sustained requests per hour ONE VM serves</t>
        </is>
      </c>
      <c r="B7" s="1">
        <v>3000</v>
      </c>
      <c r="C7" t="inlineStr">
        <is>
          <t xml:space="preserve">MEASURE this with notebook 03 for your model and prompt length (Sources S11).</t>
        </is>
      </c>
    </row>
    <row r="8">
      <c r="A8" t="inlineStr">
        <is>
          <t xml:space="preserve">Utilisation ceiling</t>
        </is>
      </c>
      <c r="B8" s="1">
        <v>0.6</v>
      </c>
      <c r="C8" t="inlineStr">
        <is>
          <t xml:space="preserve">Plan at 60%. Queues explode above that - Day 2 S8 shows why.</t>
        </is>
      </c>
    </row>
    <row r="9">
      <c r="A9" t="inlineStr">
        <is>
          <t xml:space="preserve">Ops hours per month</t>
        </is>
      </c>
      <c r="B9" s="1">
        <v>8</v>
      </c>
      <c r="C9" t="inlineStr">
        <is>
          <t xml:space="preserve">Patching, model updates, monitoring, on-call. YOUR number (Sources S12).</t>
        </is>
      </c>
    </row>
    <row r="10">
      <c r="A10" t="inlineStr">
        <is>
          <t xml:space="preserve">Loaded cost per engineer hour, $</t>
        </is>
      </c>
      <c r="B10" s="1">
        <v>60</v>
      </c>
      <c r="C10" t="inlineStr">
        <is>
          <t xml:space="preserve">YOUR number.</t>
        </is>
      </c>
    </row>
    <row r="11">
      <c r="A11" t="inlineStr">
        <is>
          <t xml:space="preserve">One-off cost, $ (fine-tune, setup)</t>
        </is>
      </c>
      <c r="B11" s="1">
        <v>25</v>
      </c>
      <c r="C11" t="inlineStr">
        <is>
          <t xml:space="preserve">The Day 2 fine-tune took 7 minutes on a free T4; 2 h of A10 is $2.60.</t>
        </is>
      </c>
    </row>
    <row r="12">
      <c r="A12" t="inlineStr">
        <is>
          <t xml:space="preserve">Storage, logs, backups, $ per month</t>
        </is>
      </c>
      <c r="B12" s="1">
        <v>5</v>
      </c>
      <c r="C12" t="inlineStr">
        <is>
          <t xml:space="preserve"/>
        </is>
      </c>
    </row>
    <row r="14">
      <c r="A14" s="3" t="inlineStr">
        <is>
          <t xml:space="preserve">Derived</t>
        </is>
      </c>
    </row>
    <row r="15">
      <c r="A15" t="inlineStr">
        <is>
          <t xml:space="preserve">VMs needed for the peak hour</t>
        </is>
      </c>
      <c r="B15">
        <f>ROUNDUP(Inputs!B18/(B7*B8),0)</f>
      </c>
      <c r="C15" t="inlineStr">
        <is>
          <t xml:space="preserve">Formula: peak requests/hour / (capacity x utilisation), rounded up</t>
        </is>
      </c>
    </row>
    <row r="16">
      <c r="A16" t="inlineStr">
        <is>
          <t xml:space="preserve">VMs actually run</t>
        </is>
      </c>
      <c r="B16">
        <f>MAX(B15,B6)</f>
      </c>
      <c r="C16" t="inlineStr">
        <is>
          <t xml:space="preserve">Formula: the larger of 'needed for peak' and 'minimum for availability'</t>
        </is>
      </c>
    </row>
    <row r="17">
      <c r="A17" t="inlineStr">
        <is>
          <t xml:space="preserve">Compute, $ per month</t>
        </is>
      </c>
      <c r="B17" s="2">
        <f>B16*B4*B5</f>
      </c>
      <c r="C17" t="inlineStr">
        <is>
          <t xml:space="preserve">Formula: VMs x $/hour x hours</t>
        </is>
      </c>
    </row>
    <row r="18">
      <c r="A18" t="inlineStr">
        <is>
          <t xml:space="preserve">Ops labour, $ per month</t>
        </is>
      </c>
      <c r="B18" s="2">
        <f>B9*B10</f>
      </c>
    </row>
    <row r="19">
      <c r="A19" t="inlineStr">
        <is>
          <t xml:space="preserve">Self-hosted total, $ per month</t>
        </is>
      </c>
      <c r="B19" s="2">
        <f>B17+B18+B12</f>
      </c>
      <c r="C19" t="inlineStr">
        <is>
          <t xml:space="preserve">Formula: compute + ops + storage. Note it does NOT change with volume until you add a VM.</t>
        </is>
      </c>
    </row>
    <row r="20">
      <c r="A20" t="inlineStr">
        <is>
          <t xml:space="preserve">$ per 1000 requests</t>
        </is>
      </c>
      <c r="B20" s="2">
        <f>B19/Inputs!B15*1000</f>
      </c>
    </row>
    <row r="21">
      <c r="A21" t="inlineStr">
        <is>
          <t xml:space="preserve">$ total over the months, incl. one-off</t>
        </is>
      </c>
      <c r="B21" s="2">
        <f>B19*Inputs!B12+B11</f>
      </c>
    </row>
    <row r="22">
      <c r="A22" t="inlineStr">
        <is>
          <t xml:space="preserve">Share of the time the VMs sit idle</t>
        </is>
      </c>
      <c r="B22" s="4">
        <f>1-Inputs!B15/(B16*B7*B5)</f>
      </c>
      <c r="C22" t="inlineStr">
        <is>
          <t xml:space="preserve">Formula: 1 - requests/month / (VMs x capacity x hours). High = you are paying for a car park.</t>
        </is>
      </c>
    </row>
  </sheetData>
</worksheet>
</file>

<file path=xl/worksheets/sheet4.xml><?xml version="1.0" encoding="utf-8"?>
<worksheet xmlns="http://schemas.openxmlformats.org/spreadsheetml/2006/main">
  <cols>
    <col min="1" max="1" width="46" customWidth="1"/>
    <col min="2" max="2" width="22" customWidth="1"/>
    <col min="3" max="3" width="60" customWidth="1"/>
  </cols>
  <sheetData>
    <row r="1">
      <c r="A1" s="3" t="inlineStr">
        <is>
          <t xml:space="preserve">SUMMARY - what to put in the architecture spec (section 7)</t>
        </is>
      </c>
    </row>
    <row r="3">
      <c r="A3" t="inlineStr">
        <is>
          <t xml:space="preserve">Requests per month</t>
        </is>
      </c>
      <c r="B3">
        <f>Inputs!B15</f>
      </c>
    </row>
    <row r="4">
      <c r="A4" t="inlineStr">
        <is>
          <t xml:space="preserve">Cheapest API option, $ per month</t>
        </is>
      </c>
      <c r="B4" s="2">
        <f>MIN('API options'!H4:H14)</f>
      </c>
    </row>
    <row r="5">
      <c r="A5" t="inlineStr">
        <is>
          <t xml:space="preserve">Cheapest API option, which</t>
        </is>
      </c>
      <c r="B5">
        <f>INDEX('API options'!B4:B14,MATCH(B4,'API options'!H4:H14,0))</f>
      </c>
    </row>
    <row r="6">
      <c r="A6" t="inlineStr">
        <is>
          <t xml:space="preserve">Self-hosted, $ per month</t>
        </is>
      </c>
      <c r="B6" s="2">
        <f>'Self-hosted'!B19</f>
      </c>
    </row>
    <row r="7">
      <c r="A7" t="inlineStr">
        <is>
          <t xml:space="preserve">Self-hosted, $ total incl. one-off</t>
        </is>
      </c>
      <c r="B7" s="2">
        <f>'Self-hosted'!B21</f>
      </c>
    </row>
    <row r="8">
      <c r="A8" t="inlineStr">
        <is>
          <t xml:space="preserve">Self-hosted VMs run / idle share</t>
        </is>
      </c>
      <c r="B8">
        <f>'Self-hosted'!B16</f>
      </c>
      <c r="C8" s="4">
        <f>'Self-hosted'!B22</f>
      </c>
    </row>
    <row r="10">
      <c r="A10" s="3" t="inlineStr">
        <is>
          <t xml:space="preserve">Break-even</t>
        </is>
      </c>
    </row>
    <row r="11">
      <c r="A11" t="inlineStr">
        <is>
          <t xml:space="preserve">Compare self-hosted against API row number</t>
        </is>
      </c>
      <c r="B11" s="1">
        <v>6</v>
      </c>
      <c r="C11" t="inlineStr">
        <is>
          <t xml:space="preserve">1 = first row of the API table. Pick the model that actually passes your quality bar, not the cheapest.</t>
        </is>
      </c>
    </row>
    <row r="12">
      <c r="A12" t="inlineStr">
        <is>
          <t xml:space="preserve">That model</t>
        </is>
      </c>
      <c r="B12">
        <f>INDEX('API options'!B4:B14,B11)</f>
      </c>
    </row>
    <row r="13">
      <c r="A13" t="inlineStr">
        <is>
          <t xml:space="preserve">Its $ per month at your volume</t>
        </is>
      </c>
      <c r="B13" s="2">
        <f>INDEX('API options'!H4:H14,B11)</f>
      </c>
    </row>
    <row r="14">
      <c r="A14" t="inlineStr">
        <is>
          <t xml:space="preserve">Requests per month where self-hosting costs the same</t>
        </is>
      </c>
      <c r="B14">
        <f>'Self-hosted'!B19/(INDEX('API options'!J4:J14,B11)/1000)</f>
      </c>
      <c r="C14" t="inlineStr">
        <is>
          <t xml:space="preserve">Formula: self-hosted $/month / API $/request. Below this volume the API is cheaper on money alone.</t>
        </is>
      </c>
    </row>
    <row r="15">
      <c r="A15" t="inlineStr">
        <is>
          <t xml:space="preserve">Your volume as a share of break-even</t>
        </is>
      </c>
      <c r="B15" s="4">
        <f>B3/B14</f>
      </c>
    </row>
    <row r="17">
      <c r="A17" s="5" t="inlineStr">
        <is>
          <t xml:space="preserve">Cost is one row of the decision matrix, not the decision. Data residency, latency and who owns it at 02:00 are the others.</t>
        </is>
      </c>
    </row>
  </sheetData>
</worksheet>
</file>

<file path=xl/worksheets/sheet5.xml><?xml version="1.0" encoding="utf-8"?>
<worksheet xmlns="http://schemas.openxmlformats.org/spreadsheetml/2006/main">
  <cols>
    <col min="1" max="1" width="6" customWidth="1"/>
    <col min="2" max="2" width="50" customWidth="1"/>
    <col min="3" max="3" width="60" customWidth="1"/>
    <col min="4" max="4" width="12" customWidth="1"/>
    <col min="5" max="5" width="28" customWidth="1"/>
    <col min="6" max="6" width="90" customWidth="1"/>
  </cols>
  <sheetData>
    <row r="1">
      <c r="A1" s="3" t="inlineStr">
        <is>
          <t xml:space="preserve">SOURCES - every price above, where it was read and when. All verified 2026-09-22. Prices change monthly; re-verify before the room.</t>
        </is>
      </c>
    </row>
    <row r="2">
      <c r="A2" s="3" t="inlineStr">
        <is>
          <t xml:space="preserve">Id</t>
        </is>
      </c>
      <c r="B2" s="3" t="inlineStr">
        <is>
          <t xml:space="preserve">Item</t>
        </is>
      </c>
      <c r="C2" s="3" t="inlineStr">
        <is>
          <t xml:space="preserve">Source</t>
        </is>
      </c>
      <c r="D2" s="3" t="inlineStr">
        <is>
          <t xml:space="preserve">Verified</t>
        </is>
      </c>
      <c r="E2" s="3" t="inlineStr">
        <is>
          <t xml:space="preserve">How</t>
        </is>
      </c>
      <c r="F2" s="3" t="inlineStr">
        <is>
          <t xml:space="preserve">Detail / caveat</t>
        </is>
      </c>
    </row>
    <row r="3">
      <c r="A3" t="inlineStr">
        <is>
          <t xml:space="preserve">S1</t>
        </is>
      </c>
      <c r="B3" s="5" t="inlineStr">
        <is>
          <t xml:space="preserve">OpenAI API list prices, per 1M tokens; cached input; Batch API -50%</t>
        </is>
      </c>
      <c r="C3" s="5" t="inlineStr">
        <is>
          <t xml:space="preserve">https://developers.openai.com/api/docs/pricing</t>
        </is>
      </c>
      <c r="D3" t="inlineStr">
        <is>
          <t xml:space="preserve">2026-09-22</t>
        </is>
      </c>
      <c r="E3" t="inlineStr">
        <is>
          <t xml:space="preserve">primary (vendor page)</t>
        </is>
      </c>
      <c r="F3" s="5" t="inlineStr">
        <is>
          <t xml:space="preserve">gpt-5.4-mini $0.75 / $0.075 cached / $4.50; gpt-5.4 $2.50 / $0.25 / $15; gpt-5.6-luna $0.20 / $0.02 / $1.20; gpt-5.6-terra $2 / $0.20 / $12. Fine-tuning gpt-4.1-mini: $5 per 1M training tokens, then $0.80 in / $3.20 out.</t>
        </is>
      </c>
    </row>
    <row r="4">
      <c r="A4" t="inlineStr">
        <is>
          <t xml:space="preserve">S2</t>
        </is>
      </c>
      <c r="B4" s="5" t="inlineStr">
        <is>
          <t xml:space="preserve">Anthropic Claude API prices, per 1M tokens; cache hit = 0.1x input; Batch -50%</t>
        </is>
      </c>
      <c r="C4" s="5" t="inlineStr">
        <is>
          <t xml:space="preserve">https://platform.claude.com/docs/en/about-claude/pricing</t>
        </is>
      </c>
      <c r="D4" t="inlineStr">
        <is>
          <t xml:space="preserve">2026-09-22</t>
        </is>
      </c>
      <c r="E4" t="inlineStr">
        <is>
          <t xml:space="preserve">primary (vendor page)</t>
        </is>
      </c>
      <c r="F4" s="5" t="inlineStr">
        <is>
          <t xml:space="preserve">Haiku 4.5 $1 / $5; Sonnet 5 $2 / $10 (introductory price made permanent); Opus 5 $5 / $25. Claude in Microsoft Foundry bills the SAME per-token rates through the Azure Marketplace (Claude Consumption Units); US-only inference is x1.1.</t>
        </is>
      </c>
    </row>
    <row r="5">
      <c r="A5" t="inlineStr">
        <is>
          <t xml:space="preserve">S3</t>
        </is>
      </c>
      <c r="B5" s="5" t="inlineStr">
        <is>
          <t xml:space="preserve">Google Gemini API paid tier, per 1M tokens</t>
        </is>
      </c>
      <c r="C5" s="5" t="inlineStr">
        <is>
          <t xml:space="preserve">https://ai.google.dev/gemini-api/docs/pricing</t>
        </is>
      </c>
      <c r="D5" t="inlineStr">
        <is>
          <t xml:space="preserve">2026-09-22</t>
        </is>
      </c>
      <c r="E5" t="inlineStr">
        <is>
          <t xml:space="preserve">primary (vendor page)</t>
        </is>
      </c>
      <c r="F5" s="5" t="inlineStr">
        <is>
          <t xml:space="preserve">Gemini 3.8 Flash $0.75 / $3.75 is promotional until 2026-12-31, then $1.50 / $7.50. Gemini 3.1 Pro $2 / $12 up to 200k context. Free tier exists but Google may train on it - not for company data.</t>
        </is>
      </c>
    </row>
    <row r="6">
      <c r="A6" t="inlineStr">
        <is>
          <t xml:space="preserve">S4</t>
        </is>
      </c>
      <c r="B6" s="5" t="inlineStr">
        <is>
          <t xml:space="preserve">Azure OpenAI Service, pay-as-you-go</t>
        </is>
      </c>
      <c r="C6" s="5" t="inlineStr">
        <is>
          <t xml:space="preserve">https://azure.microsoft.com/en-us/pricing/details/azure-openai/</t>
        </is>
      </c>
      <c r="D6" t="inlineStr">
        <is>
          <t xml:space="preserve">2026-09-22</t>
        </is>
      </c>
      <c r="E6" t="inlineStr">
        <is>
          <t xml:space="preserve">SECONDARY for the numbers - the Microsoft page renders prices only in the interactive calculator. Global Standard matches OpenAI list per cloudzero.com/blog/azure-openai-pricing (updated 2026-09-04), which also reports Data Zone at about +10%. Regional (UAE North) is higher again and was not obtainable in writing.</t>
        </is>
      </c>
      <c r="F6" s="5" t="inlineStr">
        <is>
          <t xml:space="preserve">RITESH: open the Azure calculator for UAE North / EU Data Zone before the room and overwrite row 11 of the API table.</t>
        </is>
      </c>
    </row>
    <row r="7">
      <c r="A7" t="inlineStr">
        <is>
          <t xml:space="preserve">S5</t>
        </is>
      </c>
      <c r="B7" s="5" t="inlineStr">
        <is>
          <t xml:space="preserve">Azure VM NV12ads A10 v5 (1x A10 24 GB, 12 vCPU), Linux, pay-as-you-go, UAE North</t>
        </is>
      </c>
      <c r="C7" s="5" t="inlineStr">
        <is>
          <t xml:space="preserve">https://prices.azure.com/api/retail/prices?$filter=armSkuName eq 'Standard_NV12ads_A10_v5'</t>
        </is>
      </c>
      <c r="D7" t="inlineStr">
        <is>
          <t xml:space="preserve">2026-09-22</t>
        </is>
      </c>
      <c r="E7" t="inlineStr">
        <is>
          <t xml:space="preserve">primary (Azure retail prices API)</t>
        </is>
      </c>
      <c r="F7" s="5" t="inlineStr">
        <is>
          <t xml:space="preserve">$1.30/h UAE North; $0.91/h East US. NV36ads A10 v5 (whole A10): $4.576/h UAE North, $3.20/h East US. Spot and 1-/3-year reservations are cheaper but not for a first deployment.</t>
        </is>
      </c>
    </row>
    <row r="8">
      <c r="A8" t="inlineStr">
        <is>
          <t xml:space="preserve">S6</t>
        </is>
      </c>
      <c r="B8" s="5" t="inlineStr">
        <is>
          <t xml:space="preserve">Azure VM NC4as T4 v3 (1x T4 16 GB, 4 vCPU), Linux, pay-as-you-go</t>
        </is>
      </c>
      <c r="C8" s="5" t="inlineStr">
        <is>
          <t xml:space="preserve">https://prices.azure.com/api/retail/prices?$filter=armSkuName eq 'Standard_NC4as_T4_v3'</t>
        </is>
      </c>
      <c r="D8" t="inlineStr">
        <is>
          <t xml:space="preserve">2026-09-22</t>
        </is>
      </c>
      <c r="E8" t="inlineStr">
        <is>
          <t xml:space="preserve">primary (Azure retail prices API)</t>
        </is>
      </c>
      <c r="F8" s="5" t="inlineStr">
        <is>
          <t xml:space="preserve">$0.526/h East US, $0.658/h West Europe. NOT offered in UAE North / UAE Central / Qatar Central (the API returns no rows) - a T4 means the data leaves the region.</t>
        </is>
      </c>
    </row>
    <row r="9">
      <c r="A9" t="inlineStr">
        <is>
          <t xml:space="preserve">S7</t>
        </is>
      </c>
      <c r="B9" s="5" t="inlineStr">
        <is>
          <t xml:space="preserve">Azure VM NC24ads A100 v4 (1x A100 80 GB), Linux, pay-as-you-go</t>
        </is>
      </c>
      <c r="C9" s="5" t="inlineStr">
        <is>
          <t xml:space="preserve">https://prices.azure.com/api/retail/prices?$filter=armSkuName eq 'Standard_NC24ads_A100_v4'</t>
        </is>
      </c>
      <c r="D9" t="inlineStr">
        <is>
          <t xml:space="preserve">2026-09-22</t>
        </is>
      </c>
      <c r="E9" t="inlineStr">
        <is>
          <t xml:space="preserve">primary (Azure retail prices API)</t>
        </is>
      </c>
      <c r="F9" s="5" t="inlineStr">
        <is>
          <t xml:space="preserve">$3.673/h East US, $4.775/h West Europe. Not offered in the Gulf regions. Only needed for models of 30B+ parameters or heavy concurrency.</t>
        </is>
      </c>
    </row>
    <row r="10">
      <c r="A10" t="inlineStr">
        <is>
          <t xml:space="preserve">S8</t>
        </is>
      </c>
      <c r="B10" s="5" t="inlineStr">
        <is>
          <t xml:space="preserve">Azure VM D4s v5 (4 vCPU, 16 GB, no GPU), Linux, UAE North - the app / API layer</t>
        </is>
      </c>
      <c r="C10" s="5" t="inlineStr">
        <is>
          <t xml:space="preserve">https://prices.azure.com/api/retail/prices?$filter=armSkuName eq 'Standard_D4s_v5'</t>
        </is>
      </c>
      <c r="D10" t="inlineStr">
        <is>
          <t xml:space="preserve">2026-09-22</t>
        </is>
      </c>
      <c r="E10" t="inlineStr">
        <is>
          <t xml:space="preserve">primary (Azure retail prices API)</t>
        </is>
      </c>
      <c r="F10" s="5" t="inlineStr">
        <is>
          <t xml:space="preserve">$0.235/h UAE North. A small model (1B-3B) also RUNS on this, slowly: the build machine's CPU takes 3-4 s a ticket; two Colab CPU cores exceeded 120 s. Not a serving option.</t>
        </is>
      </c>
    </row>
    <row r="11">
      <c r="A11" t="inlineStr">
        <is>
          <t xml:space="preserve">S9</t>
        </is>
      </c>
      <c r="B11" s="5" t="inlineStr">
        <is>
          <t xml:space="preserve">AWS EC2 GPU instances, on-demand, us-east-1</t>
        </is>
      </c>
      <c r="C11" s="5" t="inlineStr">
        <is>
          <t xml:space="preserve">https://www.thundercompute.com/blog/ec2-gpu-instances</t>
        </is>
      </c>
      <c r="D11" t="inlineStr">
        <is>
          <t xml:space="preserve">2026-09-22</t>
        </is>
      </c>
      <c r="E11" t="inlineStr">
        <is>
          <t xml:space="preserve">secondary (Sept 2026 roundup)</t>
        </is>
      </c>
      <c r="F11" s="5" t="inlineStr">
        <is>
          <t xml:space="preserve">g6.xlarge (1x L4 24 GB) $0.8048/h; g5.xlarge (1x A10G 24 GB) $1.006/h. AWS has a Bahrain and a UAE region; their prices were not checked.</t>
        </is>
      </c>
    </row>
    <row r="12">
      <c r="A12" t="inlineStr">
        <is>
          <t xml:space="preserve">S10</t>
        </is>
      </c>
      <c r="B12" s="5" t="inlineStr">
        <is>
          <t xml:space="preserve">Tokens per ticket - MEASURED on this repo</t>
        </is>
      </c>
      <c r="C12" s="5" t="inlineStr">
        <is>
          <t xml:space="preserve">data/eval/heldout_20.jsonl + corpus/tickets/tickets_raw.jsonl, Llama 3.2 tokenizer</t>
        </is>
      </c>
      <c r="D12" t="inlineStr">
        <is>
          <t xml:space="preserve">2026-09-22</t>
        </is>
      </c>
      <c r="E12" t="inlineStr">
        <is>
          <t xml:space="preserve">measured</t>
        </is>
      </c>
      <c r="F12" s="5" t="inlineStr">
        <is>
          <t xml:space="preserve">System prompt 250 tokens. Ticket text: mean 72, median 58, p95 211, max 453 over all 600. JSON reply: mean 57, max 64. Scenario A uses 330 in / 60 out.</t>
        </is>
      </c>
    </row>
    <row r="13">
      <c r="A13" t="inlineStr">
        <is>
          <t xml:space="preserve">S11</t>
        </is>
      </c>
      <c r="B13" s="5" t="inlineStr">
        <is>
          <t xml:space="preserve">Throughput of one GPU VM - MEASURED on a Colab T4, extrapolated</t>
        </is>
      </c>
      <c r="C13" s="5" t="inlineStr">
        <is>
          <t xml:space="preserve">docs/timing_log.md (notebook 06 T4 run, 2026-09-21)</t>
        </is>
      </c>
      <c r="D13" t="inlineStr">
        <is>
          <t xml:space="preserve">2026-09-22</t>
        </is>
      </c>
      <c r="E13" t="inlineStr">
        <is>
          <t xml:space="preserve">measured + assumption</t>
        </is>
      </c>
      <c r="F13" s="5" t="inlineStr">
        <is>
          <t xml:space="preserve">Ollama 0.12.10, llama3.2:1b, 100% in GPU memory: median 0.8 s per ticket, one request at a time = ~4,500 tickets/hour sequential. Scenario A plans 3,000/h on an A10 to allow for a 3B model and no batching. Measure YOUR number with notebook 03 before you defend it.</t>
        </is>
      </c>
    </row>
    <row r="14">
      <c r="A14" t="inlineStr">
        <is>
          <t xml:space="preserve">S12</t>
        </is>
      </c>
      <c r="B14" s="5" t="inlineStr">
        <is>
          <t xml:space="preserve">Ops labour and one-off costs</t>
        </is>
      </c>
      <c r="C14" s="5" t="inlineStr">
        <is>
          <t xml:space="preserve">assumption - no source</t>
        </is>
      </c>
      <c r="D14" t="inlineStr">
        <is>
          <t xml:space="preserve">2026-09-22</t>
        </is>
      </c>
      <c r="E14" t="inlineStr">
        <is>
          <t xml:space="preserve">assumption</t>
        </is>
      </c>
      <c r="F14" s="5" t="inlineStr">
        <is>
          <t xml:space="preserve">The ops hours and hourly rate are placeholders. They are the largest self-hosted line at low volume; replace them with your own before showing anyone a total.</t>
        </is>
      </c>
    </row>
    <row r="16">
      <c r="B16" s="5" t="inlineStr">
        <is>
          <t xml:space="preserve">Not modelled: network egress, private endpoints, support plans, currency (all USD), VAT, volume discounts, reserved instances, a vendor's price change mid-year, the cost of a wrong answer.</t>
        </is>
      </c>
    </row>
  </sheetData>
</worksheet>
</file>